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codeName="ThisWorkbook"/>
  <mc:AlternateContent xmlns:mc="http://schemas.openxmlformats.org/markup-compatibility/2006">
    <mc:Choice Requires="x15">
      <x15ac:absPath xmlns:x15ac="http://schemas.microsoft.com/office/spreadsheetml/2010/11/ac" url="/Users/a1238677/Library/CloudStorage/Dropbox/Adelaide/teaching/statistical practice/practical/data/"/>
    </mc:Choice>
  </mc:AlternateContent>
  <xr:revisionPtr revIDLastSave="0" documentId="8_{9E1A5B3E-B5A4-A342-96F5-78A934BD9B3E}" xr6:coauthVersionLast="47" xr6:coauthVersionMax="47" xr10:uidLastSave="{00000000-0000-0000-0000-000000000000}"/>
  <bookViews>
    <workbookView xWindow="0" yWindow="660" windowWidth="29040" windowHeight="15720" tabRatio="933" activeTab="4" xr2:uid="{00000000-000D-0000-FFFF-FFFF00000000}"/>
  </bookViews>
  <sheets>
    <sheet name="_xltb_storage_" sheetId="55" state="veryHidden" r:id="rId1"/>
    <sheet name="T.A1a" sheetId="71" state="hidden" r:id="rId2"/>
    <sheet name="T.A1b " sheetId="63" state="hidden" r:id="rId3"/>
    <sheet name="Table 1" sheetId="79" r:id="rId4"/>
    <sheet name="Table 2" sheetId="22" r:id="rId5"/>
    <sheet name="T.A3" sheetId="4" state="hidden" r:id="rId6"/>
    <sheet name="Table 3" sheetId="74" r:id="rId7"/>
    <sheet name="T.A4b" sheetId="72" state="hidden" r:id="rId8"/>
    <sheet name="Table 4" sheetId="43" r:id="rId9"/>
    <sheet name="T.A6" sheetId="70" state="hidden" r:id="rId10"/>
    <sheet name="Table 5" sheetId="76" r:id="rId11"/>
    <sheet name="Table 6" sheetId="77" r:id="rId12"/>
    <sheet name="T.A8" sheetId="68" state="hidden" r:id="rId13"/>
    <sheet name="Table 7" sheetId="69" r:id="rId14"/>
    <sheet name="Table 8" sheetId="78"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______Pub42">'[1]Table 4.2'!$P$5:$Y$25</definedName>
    <definedName name="______Pub42">'[1]Table 4.2'!$P$5:$Y$25</definedName>
    <definedName name="_____Pub42">'[1]Table 4.2'!$P$5:$Y$25</definedName>
    <definedName name="____Pub42">'[1]Table 4.2'!$P$5:$Y$25</definedName>
    <definedName name="___Pub42">'[1]Table 4.2'!$P$5:$Y$25</definedName>
    <definedName name="__Pub41" localSheetId="3">'[2]Table Q4.3'!#REF!</definedName>
    <definedName name="__Pub41" localSheetId="6">'[2]Table Q4.3'!#REF!</definedName>
    <definedName name="__Pub41" localSheetId="10">'[2]Table Q4.3'!#REF!</definedName>
    <definedName name="__Pub41" localSheetId="11">'[2]Table Q4.3'!#REF!</definedName>
    <definedName name="__Pub41">'[2]Table Q4.3'!#REF!</definedName>
    <definedName name="__Pub42">'[1]Table 4.2'!$P$5:$Y$25</definedName>
    <definedName name="_xlnm._FilterDatabase" localSheetId="3" hidden="1">'Table 1'!#REF!</definedName>
    <definedName name="_Pub41" localSheetId="3">'[2]Table Q4.3'!#REF!</definedName>
    <definedName name="_Pub41" localSheetId="6">'[2]Table Q4.3'!#REF!</definedName>
    <definedName name="_Pub41" localSheetId="10">'[2]Table Q4.3'!#REF!</definedName>
    <definedName name="_Pub41" localSheetId="11">'[2]Table Q4.3'!#REF!</definedName>
    <definedName name="_Pub41">'[2]Table Q4.3'!#REF!</definedName>
    <definedName name="_Pub42">'[1]Table 4.2'!$P$5:$Y$25</definedName>
    <definedName name="_Sort" localSheetId="3" hidden="1">#REF!</definedName>
    <definedName name="_Sort" localSheetId="6" hidden="1">#REF!</definedName>
    <definedName name="_Sort" localSheetId="10" hidden="1">#REF!</definedName>
    <definedName name="_Sort" localSheetId="11" hidden="1">#REF!</definedName>
    <definedName name="_Sort" hidden="1">#REF!</definedName>
    <definedName name="_tbl201011" localSheetId="3">#REF!</definedName>
    <definedName name="_tbl201011" localSheetId="6">#REF!</definedName>
    <definedName name="_tbl201011" localSheetId="10">#REF!</definedName>
    <definedName name="_tbl201011" localSheetId="11">#REF!</definedName>
    <definedName name="_tbl201011">#REF!</definedName>
    <definedName name="All_Offences">'[3]Areas cautions'!$BP$27:$CX$43</definedName>
    <definedName name="APPLES" localSheetId="3">#REF!</definedName>
    <definedName name="APPLES" localSheetId="10">#REF!</definedName>
    <definedName name="APPLES" localSheetId="11">#REF!</definedName>
    <definedName name="APPLES">#REF!</definedName>
    <definedName name="Burglary" localSheetId="3">#REF!</definedName>
    <definedName name="Burglary" localSheetId="6">#REF!</definedName>
    <definedName name="Burglary" localSheetId="10">#REF!</definedName>
    <definedName name="Burglary" localSheetId="11">#REF!</definedName>
    <definedName name="Burglary">#REF!</definedName>
    <definedName name="Cautions" localSheetId="3">'[4]6.4 data'!#REF!</definedName>
    <definedName name="Cautions" localSheetId="6">'[4]6.4 data'!#REF!</definedName>
    <definedName name="Cautions" localSheetId="10">'[4]6.4 data'!#REF!</definedName>
    <definedName name="Cautions" localSheetId="11">'[4]6.4 data'!#REF!</definedName>
    <definedName name="Cautions">'[4]6.4 data'!#REF!</definedName>
    <definedName name="CCTrial2009Tried">'[5]Table 3.7'!$P$5:$U$23</definedName>
    <definedName name="column_1832W" localSheetId="12">T.A8!#REF!</definedName>
    <definedName name="column_1832W" localSheetId="11">'Table 6'!#REF!</definedName>
    <definedName name="Convictions" localSheetId="3">'[4]6.4 data'!#REF!</definedName>
    <definedName name="Convictions" localSheetId="6">'[4]6.4 data'!#REF!</definedName>
    <definedName name="Convictions" localSheetId="10">'[4]6.4 data'!#REF!</definedName>
    <definedName name="Convictions" localSheetId="11">'[4]6.4 data'!#REF!</definedName>
    <definedName name="Convictions">'[4]6.4 data'!#REF!</definedName>
    <definedName name="Criminal_Damage">'[3]Areas cautions'!$CZ$20:$EK$36</definedName>
    <definedName name="Cumbria" localSheetId="3">#REF!</definedName>
    <definedName name="Cumbria" localSheetId="6">#REF!</definedName>
    <definedName name="Cumbria" localSheetId="10">#REF!</definedName>
    <definedName name="Cumbria" localSheetId="11">#REF!</definedName>
    <definedName name="Cumbria">#REF!</definedName>
    <definedName name="currentyr" localSheetId="3">#REF!</definedName>
    <definedName name="currentyr" localSheetId="6">#REF!</definedName>
    <definedName name="currentyr" localSheetId="10">#REF!</definedName>
    <definedName name="currentyr" localSheetId="11">#REF!</definedName>
    <definedName name="currentyr">#REF!</definedName>
    <definedName name="Date" localSheetId="1">#REF!</definedName>
    <definedName name="Date" localSheetId="2">#REF!</definedName>
    <definedName name="Date" localSheetId="12">#REF!</definedName>
    <definedName name="Date" localSheetId="3">#REF!</definedName>
    <definedName name="Date" localSheetId="6">#REF!</definedName>
    <definedName name="Date" localSheetId="8">#REF!</definedName>
    <definedName name="Date" localSheetId="10">#REF!</definedName>
    <definedName name="Date" localSheetId="11">#REF!</definedName>
    <definedName name="Date" localSheetId="13">#REF!</definedName>
    <definedName name="Date">#REF!</definedName>
    <definedName name="Drug_Offences">'[3]Areas cautions'!$CW$37:$EH$53</definedName>
    <definedName name="dsgfvgdgd" localSheetId="1">#REF!</definedName>
    <definedName name="dsgfvgdgd" localSheetId="2">#REF!</definedName>
    <definedName name="dsgfvgdgd" localSheetId="12">#REF!</definedName>
    <definedName name="dsgfvgdgd" localSheetId="3">#REF!</definedName>
    <definedName name="dsgfvgdgd" localSheetId="6">#REF!</definedName>
    <definedName name="dsgfvgdgd" localSheetId="10">#REF!</definedName>
    <definedName name="dsgfvgdgd" localSheetId="11">#REF!</definedName>
    <definedName name="dsgfvgdgd" localSheetId="13">#REF!</definedName>
    <definedName name="dsgfvgdgd">#REF!</definedName>
    <definedName name="fdsgf" localSheetId="1">#REF!</definedName>
    <definedName name="fdsgf" localSheetId="2">#REF!</definedName>
    <definedName name="fdsgf" localSheetId="12">#REF!</definedName>
    <definedName name="fdsgf" localSheetId="3">#REF!</definedName>
    <definedName name="fdsgf" localSheetId="6">#REF!</definedName>
    <definedName name="fdsgf" localSheetId="10">#REF!</definedName>
    <definedName name="fdsgf" localSheetId="11">#REF!</definedName>
    <definedName name="fdsgf" localSheetId="13">#REF!</definedName>
    <definedName name="fdsgf">#REF!</definedName>
    <definedName name="FinYear" localSheetId="3">#REF!</definedName>
    <definedName name="FinYear" localSheetId="6">#REF!</definedName>
    <definedName name="FinYear" localSheetId="10">#REF!</definedName>
    <definedName name="FinYear" localSheetId="11">#REF!</definedName>
    <definedName name="FinYear">#REF!</definedName>
    <definedName name="ForceNames">'[6]Apr-Jun 2011'!$A$5:$A$47</definedName>
    <definedName name="Fraud_and_Forgery">'[3]Areas cautions'!$CW$54:$EH$70</definedName>
    <definedName name="gfhjdgjgfgjfj" localSheetId="3">#REF!</definedName>
    <definedName name="gfhjdgjgfgjfj" localSheetId="6">#REF!</definedName>
    <definedName name="gfhjdgjgfgjfj" localSheetId="10">#REF!</definedName>
    <definedName name="gfhjdgjgfgjfj" localSheetId="11">#REF!</definedName>
    <definedName name="gfhjdgjgfgjfj">#REF!</definedName>
    <definedName name="ghf" localSheetId="1">#REF!</definedName>
    <definedName name="ghf" localSheetId="2">#REF!</definedName>
    <definedName name="ghf" localSheetId="12">#REF!</definedName>
    <definedName name="ghf" localSheetId="3">#REF!</definedName>
    <definedName name="ghf" localSheetId="6">#REF!</definedName>
    <definedName name="ghf" localSheetId="10">#REF!</definedName>
    <definedName name="ghf" localSheetId="11">#REF!</definedName>
    <definedName name="ghf" localSheetId="13">#REF!</definedName>
    <definedName name="ghf">#REF!</definedName>
    <definedName name="ghgxdxrfhgfh" localSheetId="1">#REF!</definedName>
    <definedName name="ghgxdxrfhgfh" localSheetId="2">#REF!</definedName>
    <definedName name="ghgxdxrfhgfh" localSheetId="12">#REF!</definedName>
    <definedName name="ghgxdxrfhgfh" localSheetId="3">#REF!</definedName>
    <definedName name="ghgxdxrfhgfh" localSheetId="6">#REF!</definedName>
    <definedName name="ghgxdxrfhgfh" localSheetId="10">#REF!</definedName>
    <definedName name="ghgxdxrfhgfh" localSheetId="11">#REF!</definedName>
    <definedName name="ghgxdxrfhgfh" localSheetId="13">#REF!</definedName>
    <definedName name="ghgxdxrfhgfh">#REF!</definedName>
    <definedName name="grf" localSheetId="1">#REF!</definedName>
    <definedName name="grf" localSheetId="2">#REF!</definedName>
    <definedName name="grf" localSheetId="12">#REF!</definedName>
    <definedName name="grf" localSheetId="3">#REF!</definedName>
    <definedName name="grf" localSheetId="6">#REF!</definedName>
    <definedName name="grf" localSheetId="8">#REF!</definedName>
    <definedName name="grf" localSheetId="10">#REF!</definedName>
    <definedName name="grf" localSheetId="11">#REF!</definedName>
    <definedName name="grf" localSheetId="13">#REF!</definedName>
    <definedName name="grf">#REF!</definedName>
    <definedName name="Guilty">'[7]Table Q4.1'!$A$7:$L$27</definedName>
    <definedName name="HO" localSheetId="3">#REF!</definedName>
    <definedName name="HO" localSheetId="6">#REF!</definedName>
    <definedName name="HO" localSheetId="10">#REF!</definedName>
    <definedName name="HO" localSheetId="11">#REF!</definedName>
    <definedName name="HO">#REF!</definedName>
    <definedName name="IneffCC_BandW" localSheetId="3">[8]Ineffective!#REF!</definedName>
    <definedName name="IneffCC_BandW" localSheetId="6">[8]Ineffective!#REF!</definedName>
    <definedName name="IneffCC_BandW" localSheetId="10">[8]Ineffective!#REF!</definedName>
    <definedName name="IneffCC_BandW" localSheetId="11">[8]Ineffective!#REF!</definedName>
    <definedName name="IneffCC_BandW">[8]Ineffective!#REF!</definedName>
    <definedName name="IneffCC_BandW_and_figures" localSheetId="3">[8]Ineffective!#REF!</definedName>
    <definedName name="IneffCC_BandW_and_figures" localSheetId="6">[8]Ineffective!#REF!</definedName>
    <definedName name="IneffCC_BandW_and_figures" localSheetId="10">[8]Ineffective!#REF!</definedName>
    <definedName name="IneffCC_BandW_and_figures" localSheetId="11">[8]Ineffective!#REF!</definedName>
    <definedName name="IneffCC_BandW_and_figures">[8]Ineffective!#REF!</definedName>
    <definedName name="jhnkbjhnj" localSheetId="1">#REF!</definedName>
    <definedName name="jhnkbjhnj" localSheetId="2">#REF!</definedName>
    <definedName name="jhnkbjhnj" localSheetId="12">#REF!</definedName>
    <definedName name="jhnkbjhnj" localSheetId="3">#REF!</definedName>
    <definedName name="jhnkbjhnj" localSheetId="6">#REF!</definedName>
    <definedName name="jhnkbjhnj" localSheetId="10">#REF!</definedName>
    <definedName name="jhnkbjhnj" localSheetId="11">#REF!</definedName>
    <definedName name="jhnkbjhnj" localSheetId="13">#REF!</definedName>
    <definedName name="jhnkbjhnj">#REF!</definedName>
    <definedName name="m" localSheetId="3" hidden="1">#REF!</definedName>
    <definedName name="m" localSheetId="6" hidden="1">#REF!</definedName>
    <definedName name="m" localSheetId="10" hidden="1">#REF!</definedName>
    <definedName name="m" localSheetId="11" hidden="1">#REF!</definedName>
    <definedName name="m" hidden="1">#REF!</definedName>
    <definedName name="MagTrial">'[5]3.6 and 3.7 pivot'!$A$75:$M$94</definedName>
    <definedName name="MagTrial2009Glty">'[5]Table 3.6'!$T$27:$Y$45</definedName>
    <definedName name="MagTrial2009Procs">'[5]Table 3.6'!$T$5:$Y$25</definedName>
    <definedName name="new" localSheetId="3">#REF!</definedName>
    <definedName name="new" localSheetId="6">#REF!</definedName>
    <definedName name="new" localSheetId="10">#REF!</definedName>
    <definedName name="new" localSheetId="11">#REF!</definedName>
    <definedName name="new">#REF!</definedName>
    <definedName name="NEWname" localSheetId="1">#REF!</definedName>
    <definedName name="NEWname" localSheetId="2">#REF!</definedName>
    <definedName name="NEWname" localSheetId="12">#REF!</definedName>
    <definedName name="NEWname" localSheetId="3">#REF!</definedName>
    <definedName name="NEWname" localSheetId="6">#REF!</definedName>
    <definedName name="NEWname" localSheetId="10">#REF!</definedName>
    <definedName name="NEWname" localSheetId="11">#REF!</definedName>
    <definedName name="NEWname" localSheetId="13">#REF!</definedName>
    <definedName name="NEWname">#REF!</definedName>
    <definedName name="Non" localSheetId="3">#REF!</definedName>
    <definedName name="Non" localSheetId="6">#REF!</definedName>
    <definedName name="Non" localSheetId="10">#REF!</definedName>
    <definedName name="Non" localSheetId="11">#REF!</definedName>
    <definedName name="Non">#REF!</definedName>
    <definedName name="NonSanctionDetections" localSheetId="3">#REF!</definedName>
    <definedName name="NonSanctionDetections" localSheetId="6">#REF!</definedName>
    <definedName name="NonSanctionDetections" localSheetId="10">#REF!</definedName>
    <definedName name="NonSanctionDetections" localSheetId="11">#REF!</definedName>
    <definedName name="NonSanctionDetections">#REF!</definedName>
    <definedName name="NPItable" localSheetId="3">'[9]Sep - Nov 01'!#REF!</definedName>
    <definedName name="NPItable" localSheetId="6">'[9]Sep - Nov 01'!#REF!</definedName>
    <definedName name="NPItable" localSheetId="10">'[9]Sep - Nov 01'!#REF!</definedName>
    <definedName name="NPItable" localSheetId="11">'[9]Sep - Nov 01'!#REF!</definedName>
    <definedName name="NPItable">'[9]Sep - Nov 01'!#REF!</definedName>
    <definedName name="offence_codes" localSheetId="1">#REF!</definedName>
    <definedName name="offence_codes" localSheetId="2">#REF!</definedName>
    <definedName name="offence_codes" localSheetId="12">#REF!</definedName>
    <definedName name="offence_codes" localSheetId="3">#REF!</definedName>
    <definedName name="offence_codes" localSheetId="6">#REF!</definedName>
    <definedName name="offence_codes" localSheetId="8">#REF!</definedName>
    <definedName name="offence_codes" localSheetId="10">#REF!</definedName>
    <definedName name="offence_codes" localSheetId="11">#REF!</definedName>
    <definedName name="offence_codes" localSheetId="13">#REF!</definedName>
    <definedName name="offence_codes">#REF!</definedName>
    <definedName name="offence_major_categories" localSheetId="1">#REF!</definedName>
    <definedName name="offence_major_categories" localSheetId="2">#REF!</definedName>
    <definedName name="offence_major_categories" localSheetId="12">#REF!</definedName>
    <definedName name="offence_major_categories" localSheetId="3">#REF!</definedName>
    <definedName name="offence_major_categories" localSheetId="6">#REF!</definedName>
    <definedName name="offence_major_categories" localSheetId="8">#REF!</definedName>
    <definedName name="offence_major_categories" localSheetId="10">#REF!</definedName>
    <definedName name="offence_major_categories" localSheetId="11">#REF!</definedName>
    <definedName name="offence_major_categories" localSheetId="13">#REF!</definedName>
    <definedName name="offence_major_categories">#REF!</definedName>
    <definedName name="OffencesProceedings">[10]OffencesSummary!$A$18:$L$28</definedName>
    <definedName name="Other">'[11]5d TIC summary'!$O$168,'[11]5d TIC summary'!$O$164,'[11]5d TIC summary'!$O$160,'[11]5d TIC summary'!$O$156,'[11]5d TIC summary'!$O$152,'[11]5d TIC summary'!$O$148,'[11]5d TIC summary'!$O$144,'[11]5d TIC summary'!$O$136,'[11]5d TIC summary'!$O$132,'[11]5d TIC summary'!$O$128,'[11]5d TIC summary'!$O$124,'[11]5d TIC summary'!$O$120,'[11]5d TIC summary'!$O$116,'[11]5d TIC summary'!$O$112,'[11]5d TIC summary'!$O$108,'[11]5d TIC summary'!$O$104,'[11]5d TIC summary'!$O$100,'[11]5d TIC summary'!$O$96,'[11]5d TIC summary'!$O$92,'[11]5d TIC summary'!$O$88,'[11]5d TIC summary'!$O$84,'[11]5d TIC summary'!$O$80,'[11]5d TIC summary'!$O$72,'[11]5d TIC summary'!$O$68,'[11]5d TIC summary'!$O$64,'[11]5d TIC summary'!$O$60,'[11]5d TIC summary'!$O$56,'[11]5d TIC summary'!$O$52,'[11]5d TIC summary'!$O$48,'[11]5d TIC summary'!$O$40,'[11]5d TIC summary'!$O$44,'[11]5d TIC summary'!$O$36,'[11]5d TIC summary'!$O$32,'[11]5d TIC summary'!$O$28</definedName>
    <definedName name="Other_Offences">'[3]Areas cautions'!$CW$71:$EH$87</definedName>
    <definedName name="owners" localSheetId="1">#REF!</definedName>
    <definedName name="owners" localSheetId="2">#REF!</definedName>
    <definedName name="owners" localSheetId="12">#REF!</definedName>
    <definedName name="owners" localSheetId="3">#REF!</definedName>
    <definedName name="owners" localSheetId="6">#REF!</definedName>
    <definedName name="owners" localSheetId="8">#REF!</definedName>
    <definedName name="owners" localSheetId="10">#REF!</definedName>
    <definedName name="owners" localSheetId="11">#REF!</definedName>
    <definedName name="owners" localSheetId="13">#REF!</definedName>
    <definedName name="owners">#REF!</definedName>
    <definedName name="PND" localSheetId="3">'[4]6.4 data'!#REF!</definedName>
    <definedName name="PND" localSheetId="6">'[4]6.4 data'!#REF!</definedName>
    <definedName name="PND" localSheetId="10">'[4]6.4 data'!#REF!</definedName>
    <definedName name="PND" localSheetId="11">'[4]6.4 data'!#REF!</definedName>
    <definedName name="PND">'[4]6.4 data'!#REF!</definedName>
    <definedName name="prevyr" localSheetId="3">#REF!</definedName>
    <definedName name="prevyr" localSheetId="6">#REF!</definedName>
    <definedName name="prevyr" localSheetId="10">#REF!</definedName>
    <definedName name="prevyr" localSheetId="11">#REF!</definedName>
    <definedName name="prevyr">#REF!</definedName>
    <definedName name="_xlnm.Print_Area" localSheetId="3">#REF!</definedName>
    <definedName name="_xlnm.Print_Area" localSheetId="6">#REF!</definedName>
    <definedName name="_xlnm.Print_Area" localSheetId="10">#REF!</definedName>
    <definedName name="_xlnm.Print_Area" localSheetId="11">#REF!</definedName>
    <definedName name="_xlnm.Print_Area" localSheetId="13">'Table 7'!$B$2:$P$23</definedName>
    <definedName name="_xlnm.Print_Area">#REF!</definedName>
    <definedName name="PRINT_AREA_MI" localSheetId="3">#REF!</definedName>
    <definedName name="PRINT_AREA_MI" localSheetId="6">#REF!</definedName>
    <definedName name="PRINT_AREA_MI" localSheetId="10">#REF!</definedName>
    <definedName name="PRINT_AREA_MI" localSheetId="11">#REF!</definedName>
    <definedName name="PRINT_AREA_MI">#REF!</definedName>
    <definedName name="PRINT_AREA." localSheetId="3">#REF!</definedName>
    <definedName name="PRINT_AREA." localSheetId="6">#REF!</definedName>
    <definedName name="PRINT_AREA." localSheetId="10">#REF!</definedName>
    <definedName name="PRINT_AREA." localSheetId="11">#REF!</definedName>
    <definedName name="PRINT_AREA.">#REF!</definedName>
    <definedName name="Print_Area2" localSheetId="3">#REF!</definedName>
    <definedName name="Print_Area2" localSheetId="6">#REF!</definedName>
    <definedName name="Print_Area2" localSheetId="10">#REF!</definedName>
    <definedName name="Print_Area2" localSheetId="11">#REF!</definedName>
    <definedName name="Print_Area2">#REF!</definedName>
    <definedName name="Pub4a" localSheetId="3">'[2]Table Q4a'!#REF!</definedName>
    <definedName name="Pub4a" localSheetId="6">'[2]Table Q4a'!#REF!</definedName>
    <definedName name="Pub4a" localSheetId="10">'[2]Table Q4a'!#REF!</definedName>
    <definedName name="Pub4a" localSheetId="11">'[2]Table Q4a'!#REF!</definedName>
    <definedName name="Pub4a">'[2]Table Q4a'!#REF!</definedName>
    <definedName name="PYO_BandW" localSheetId="3">[8]PYO!#REF!</definedName>
    <definedName name="PYO_BandW" localSheetId="6">[8]PYO!#REF!</definedName>
    <definedName name="PYO_BandW" localSheetId="10">[8]PYO!#REF!</definedName>
    <definedName name="PYO_BandW" localSheetId="11">[8]PYO!#REF!</definedName>
    <definedName name="PYO_BandW">[8]PYO!#REF!</definedName>
    <definedName name="PYO_BandW_and_figures" localSheetId="6">[8]PYO!#REF!</definedName>
    <definedName name="PYO_BandW_and_figures" localSheetId="10">[8]PYO!#REF!</definedName>
    <definedName name="PYO_BandW_and_figures">[8]PYO!#REF!</definedName>
    <definedName name="PYO_BandW_in_groups" localSheetId="6">[8]PYO!#REF!</definedName>
    <definedName name="PYO_BandW_in_groups" localSheetId="10">[8]PYO!#REF!</definedName>
    <definedName name="PYO_BandW_in_groups">[8]PYO!#REF!</definedName>
    <definedName name="qry2010_11_ADULT_ALL_NOS_LOGIT" localSheetId="3">#REF!</definedName>
    <definedName name="qry2010_11_ADULT_ALL_NOS_LOGIT" localSheetId="6">#REF!</definedName>
    <definedName name="qry2010_11_ADULT_ALL_NOS_LOGIT" localSheetId="10">#REF!</definedName>
    <definedName name="qry2010_11_ADULT_ALL_NOS_LOGIT" localSheetId="11">#REF!</definedName>
    <definedName name="qry2010_11_ADULT_ALL_NOS_LOGIT">#REF!</definedName>
    <definedName name="qry2010_11_YP_ALL_NOS_LOGIT" localSheetId="3">#REF!</definedName>
    <definedName name="qry2010_11_YP_ALL_NOS_LOGIT" localSheetId="6">#REF!</definedName>
    <definedName name="qry2010_11_YP_ALL_NOS_LOGIT" localSheetId="10">#REF!</definedName>
    <definedName name="qry2010_11_YP_ALL_NOS_LOGIT" localSheetId="11">#REF!</definedName>
    <definedName name="qry2010_11_YP_ALL_NOS_LOGIT">#REF!</definedName>
    <definedName name="qryLastYear_Adult" localSheetId="3">#REF!</definedName>
    <definedName name="qryLastYear_Adult" localSheetId="6">#REF!</definedName>
    <definedName name="qryLastYear_Adult" localSheetId="10">#REF!</definedName>
    <definedName name="qryLastYear_Adult" localSheetId="11">#REF!</definedName>
    <definedName name="qryLastYear_Adult">#REF!</definedName>
    <definedName name="Qtr" localSheetId="3">#REF!</definedName>
    <definedName name="Qtr" localSheetId="6">#REF!</definedName>
    <definedName name="Qtr" localSheetId="10">#REF!</definedName>
    <definedName name="Qtr" localSheetId="11">#REF!</definedName>
    <definedName name="Qtr">#REF!</definedName>
    <definedName name="result_codes" localSheetId="1">#REF!</definedName>
    <definedName name="result_codes" localSheetId="2">#REF!</definedName>
    <definedName name="result_codes" localSheetId="12">#REF!</definedName>
    <definedName name="result_codes" localSheetId="3">#REF!</definedName>
    <definedName name="result_codes" localSheetId="6">#REF!</definedName>
    <definedName name="result_codes" localSheetId="8">#REF!</definedName>
    <definedName name="result_codes" localSheetId="10">#REF!</definedName>
    <definedName name="result_codes" localSheetId="11">#REF!</definedName>
    <definedName name="result_codes" localSheetId="13">#REF!</definedName>
    <definedName name="result_codes">#REF!</definedName>
    <definedName name="Robbery">'[3]Areas cautions'!$CW$88:$EH$104</definedName>
    <definedName name="sd" localSheetId="1">#REF!</definedName>
    <definedName name="sd" localSheetId="2">#REF!</definedName>
    <definedName name="sd" localSheetId="12">#REF!</definedName>
    <definedName name="sd" localSheetId="3">#REF!</definedName>
    <definedName name="sd" localSheetId="6">#REF!</definedName>
    <definedName name="sd" localSheetId="10">#REF!</definedName>
    <definedName name="sd" localSheetId="11">#REF!</definedName>
    <definedName name="sd" localSheetId="13">#REF!</definedName>
    <definedName name="sd">#REF!</definedName>
    <definedName name="sdafsdafsdsf" localSheetId="1">#REF!</definedName>
    <definedName name="sdafsdafsdsf" localSheetId="2">#REF!</definedName>
    <definedName name="sdafsdafsdsf" localSheetId="12">#REF!</definedName>
    <definedName name="sdafsdafsdsf" localSheetId="3">#REF!</definedName>
    <definedName name="sdafsdafsdsf" localSheetId="6">#REF!</definedName>
    <definedName name="sdafsdafsdsf" localSheetId="10">#REF!</definedName>
    <definedName name="sdafsdafsdsf" localSheetId="11">#REF!</definedName>
    <definedName name="sdafsdafsdsf" localSheetId="13">#REF!</definedName>
    <definedName name="sdafsdafsdsf">#REF!</definedName>
    <definedName name="Sexual_Offences">'[3]Areas cautions'!$CW$105:$EH$121</definedName>
    <definedName name="Shop_Lifting">'[3]Areas cautions'!$CW$122:$EH$139</definedName>
    <definedName name="Tab35AllAges" localSheetId="3">#REF!</definedName>
    <definedName name="Tab35AllAges" localSheetId="6">#REF!</definedName>
    <definedName name="Tab35AllAges" localSheetId="10">#REF!</definedName>
    <definedName name="Tab35AllAges" localSheetId="11">#REF!</definedName>
    <definedName name="Tab35AllAges">#REF!</definedName>
    <definedName name="Tab35Total">'[5]Table 3.5'!$AA$51:$AI$61</definedName>
    <definedName name="Tab35Under18">'[5]Table 3.5'!$AA$12:$AI$22</definedName>
    <definedName name="Table">OFFSET([12]tbl_NATIONAL!$A$2,0,0,COUNTA([12]tbl_NATIONAL!XFD:XFD)-1,14)</definedName>
    <definedName name="table9_2" localSheetId="3">#REF!</definedName>
    <definedName name="table9_2" localSheetId="6">#REF!</definedName>
    <definedName name="table9_2" localSheetId="10">#REF!</definedName>
    <definedName name="table9_2" localSheetId="11">#REF!</definedName>
    <definedName name="table9_2">#REF!</definedName>
    <definedName name="Table9." localSheetId="3">#REF!</definedName>
    <definedName name="Table9." localSheetId="6">#REF!</definedName>
    <definedName name="Table9." localSheetId="10">#REF!</definedName>
    <definedName name="Table9." localSheetId="11">#REF!</definedName>
    <definedName name="Table9.">#REF!</definedName>
    <definedName name="tbl201011_YP" localSheetId="3">#REF!</definedName>
    <definedName name="tbl201011_YP" localSheetId="6">#REF!</definedName>
    <definedName name="tbl201011_YP" localSheetId="10">#REF!</definedName>
    <definedName name="tbl201011_YP" localSheetId="11">#REF!</definedName>
    <definedName name="tbl201011_YP">#REF!</definedName>
    <definedName name="Theft_and_Handling">'[3]Areas cautions'!$CX$140:$EI$156</definedName>
    <definedName name="VAP">'[3]Areas cautions'!$CX$157:$EI$173</definedName>
    <definedName name="vsfdgbvdf" localSheetId="1">#REF!</definedName>
    <definedName name="vsfdgbvdf" localSheetId="2">#REF!</definedName>
    <definedName name="vsfdgbvdf" localSheetId="12">#REF!</definedName>
    <definedName name="vsfdgbvdf" localSheetId="3">#REF!</definedName>
    <definedName name="vsfdgbvdf" localSheetId="6">#REF!</definedName>
    <definedName name="vsfdgbvdf" localSheetId="10">#REF!</definedName>
    <definedName name="vsfdgbvdf" localSheetId="11">#REF!</definedName>
    <definedName name="vsfdgbvdf" localSheetId="13">#REF!</definedName>
    <definedName name="vsfdgbvdf">#REF!</definedName>
    <definedName name="wd" localSheetId="1">#REF!</definedName>
    <definedName name="wd" localSheetId="2">#REF!</definedName>
    <definedName name="wd" localSheetId="12">#REF!</definedName>
    <definedName name="wd" localSheetId="3">#REF!</definedName>
    <definedName name="wd" localSheetId="6">#REF!</definedName>
    <definedName name="wd" localSheetId="8">#REF!</definedName>
    <definedName name="wd" localSheetId="10">#REF!</definedName>
    <definedName name="wd" localSheetId="11">#REF!</definedName>
    <definedName name="wd" localSheetId="13">#REF!</definedName>
    <definedName name="wd">#REF!</definedName>
    <definedName name="xc" localSheetId="3">#REF!</definedName>
    <definedName name="xc" localSheetId="6">#REF!</definedName>
    <definedName name="xc" localSheetId="10">#REF!</definedName>
    <definedName name="xc" localSheetId="11">#REF!</definedName>
    <definedName name="x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79" l="1"/>
  <c r="R15" i="79"/>
  <c r="P25" i="79"/>
  <c r="D20" i="79"/>
  <c r="O25" i="79"/>
  <c r="N25" i="79"/>
  <c r="M25" i="79"/>
  <c r="L25" i="79"/>
  <c r="K25" i="79"/>
  <c r="J25" i="79"/>
  <c r="I25" i="79"/>
  <c r="H25" i="79"/>
  <c r="G25" i="79"/>
  <c r="F25" i="79"/>
  <c r="E25" i="79"/>
  <c r="D25" i="79"/>
  <c r="P24" i="79"/>
  <c r="O24" i="79"/>
  <c r="N24" i="79"/>
  <c r="M24" i="79"/>
  <c r="L24" i="79"/>
  <c r="K24" i="79"/>
  <c r="J24" i="79"/>
  <c r="I24" i="79"/>
  <c r="H24" i="79"/>
  <c r="G24" i="79"/>
  <c r="F24" i="79"/>
  <c r="E24" i="79"/>
  <c r="D24" i="79"/>
  <c r="P23" i="79"/>
  <c r="O23" i="79"/>
  <c r="N23" i="79"/>
  <c r="M23" i="79"/>
  <c r="L23" i="79"/>
  <c r="K23" i="79"/>
  <c r="J23" i="79"/>
  <c r="I23" i="79"/>
  <c r="H23" i="79"/>
  <c r="G23" i="79"/>
  <c r="F23" i="79"/>
  <c r="E23" i="79"/>
  <c r="D23" i="79"/>
  <c r="P22" i="79"/>
  <c r="O22" i="79"/>
  <c r="N22" i="79"/>
  <c r="M22" i="79"/>
  <c r="L22" i="79"/>
  <c r="K22" i="79"/>
  <c r="J22" i="79"/>
  <c r="I22" i="79"/>
  <c r="H22" i="79"/>
  <c r="G22" i="79"/>
  <c r="F22" i="79"/>
  <c r="E22" i="79"/>
  <c r="D22" i="79"/>
  <c r="P21" i="79"/>
  <c r="O21" i="79"/>
  <c r="N21" i="79"/>
  <c r="M21" i="79"/>
  <c r="L21" i="79"/>
  <c r="K21" i="79"/>
  <c r="J21" i="79"/>
  <c r="I21" i="79"/>
  <c r="H21" i="79"/>
  <c r="G21" i="79"/>
  <c r="F21" i="79"/>
  <c r="E21" i="79"/>
  <c r="D21" i="79"/>
  <c r="P20" i="79"/>
  <c r="O20" i="79"/>
  <c r="N20" i="79"/>
  <c r="M20" i="79"/>
  <c r="L20" i="79"/>
  <c r="K20" i="79"/>
  <c r="J20" i="79"/>
  <c r="I20" i="79"/>
  <c r="H20" i="79"/>
  <c r="G20" i="79"/>
  <c r="F20" i="79"/>
  <c r="E20" i="79"/>
  <c r="Q16" i="79"/>
  <c r="P16" i="79"/>
  <c r="O16" i="79"/>
  <c r="N16" i="79"/>
  <c r="M16" i="79"/>
  <c r="L16" i="79"/>
  <c r="J16" i="79"/>
  <c r="H16" i="79"/>
  <c r="F16" i="79"/>
  <c r="D16" i="79"/>
  <c r="P15" i="79"/>
  <c r="N15" i="79"/>
  <c r="L15" i="79"/>
  <c r="J15" i="79"/>
  <c r="F15" i="79"/>
  <c r="D15" i="79"/>
  <c r="T10" i="79"/>
  <c r="I8" i="78" l="1"/>
  <c r="J8" i="78"/>
  <c r="I9" i="78"/>
  <c r="J9" i="78"/>
  <c r="I10" i="78"/>
  <c r="J10" i="78"/>
  <c r="I11" i="78"/>
  <c r="J11" i="78"/>
  <c r="I12" i="78"/>
  <c r="J12" i="78"/>
  <c r="I13" i="78"/>
  <c r="J13" i="78"/>
  <c r="I14" i="78"/>
  <c r="J14" i="78"/>
  <c r="I15" i="78"/>
  <c r="J15" i="78"/>
  <c r="I16" i="78"/>
  <c r="J16" i="78"/>
  <c r="I17" i="78"/>
  <c r="J17" i="78"/>
  <c r="I18" i="78"/>
  <c r="J18" i="78"/>
  <c r="I19" i="78"/>
  <c r="J19" i="78"/>
  <c r="I20" i="78"/>
  <c r="J20" i="78"/>
  <c r="I21" i="78"/>
  <c r="J21" i="78"/>
  <c r="I22" i="78"/>
  <c r="J22" i="78"/>
  <c r="I23" i="78"/>
  <c r="J23" i="78"/>
  <c r="I24" i="78"/>
  <c r="J24" i="78"/>
  <c r="I25" i="78"/>
  <c r="J25" i="78"/>
  <c r="I26" i="78"/>
  <c r="J26" i="78"/>
  <c r="I27" i="78"/>
  <c r="J27" i="78"/>
  <c r="I28" i="78"/>
  <c r="J28" i="78"/>
  <c r="I29" i="78"/>
  <c r="J29" i="78"/>
  <c r="I30" i="78"/>
  <c r="J30" i="78"/>
  <c r="I31" i="78"/>
  <c r="J31" i="78"/>
  <c r="I32" i="78"/>
  <c r="J32" i="78"/>
  <c r="I33" i="78"/>
  <c r="J33" i="78"/>
  <c r="I34" i="78"/>
  <c r="J34" i="78"/>
  <c r="I35" i="78"/>
  <c r="J35" i="78"/>
  <c r="I36" i="78"/>
  <c r="J36" i="78"/>
  <c r="I37" i="78"/>
  <c r="J37" i="78"/>
  <c r="I38" i="78"/>
  <c r="J38" i="78"/>
  <c r="I39" i="78"/>
  <c r="J39" i="78"/>
  <c r="L31" i="77" l="1"/>
  <c r="L30" i="77"/>
  <c r="L29" i="77"/>
  <c r="L28" i="77"/>
  <c r="L27" i="77"/>
  <c r="L26" i="77"/>
  <c r="L25" i="77"/>
  <c r="L24" i="77"/>
  <c r="L23" i="77"/>
  <c r="L22" i="77"/>
  <c r="L21" i="77"/>
  <c r="L20" i="77"/>
  <c r="L19" i="77"/>
  <c r="L18" i="77"/>
  <c r="L17" i="77"/>
  <c r="L16" i="77"/>
  <c r="L15" i="77"/>
  <c r="L14" i="77"/>
  <c r="L13" i="77"/>
  <c r="L12" i="77"/>
  <c r="L11" i="77"/>
  <c r="L10" i="77"/>
  <c r="L9" i="77"/>
  <c r="L8" i="77"/>
  <c r="L7" i="77"/>
  <c r="E148" i="76"/>
  <c r="H152" i="76" s="1"/>
  <c r="E147" i="76"/>
  <c r="E151" i="76" s="1"/>
  <c r="J146" i="76"/>
  <c r="L138" i="76"/>
  <c r="T68" i="76"/>
  <c r="S68" i="76"/>
  <c r="R68" i="76"/>
  <c r="Q68" i="76"/>
  <c r="T67" i="76"/>
  <c r="S67" i="76"/>
  <c r="R67" i="76"/>
  <c r="Q67" i="76"/>
  <c r="T66" i="76"/>
  <c r="S66" i="76"/>
  <c r="R66" i="76"/>
  <c r="Q66" i="76"/>
  <c r="T65" i="76"/>
  <c r="S65" i="76"/>
  <c r="R65" i="76"/>
  <c r="Q65" i="76"/>
  <c r="Z64" i="76"/>
  <c r="T64" i="76"/>
  <c r="S64" i="76"/>
  <c r="R64" i="76"/>
  <c r="Q64" i="76"/>
  <c r="T63" i="76"/>
  <c r="S63" i="76"/>
  <c r="R63" i="76"/>
  <c r="Q63" i="76"/>
  <c r="T62" i="76"/>
  <c r="S62" i="76"/>
  <c r="R62" i="76"/>
  <c r="Q62" i="76"/>
  <c r="T61" i="76"/>
  <c r="S61" i="76"/>
  <c r="R61" i="76"/>
  <c r="Q61" i="76"/>
  <c r="T60" i="76"/>
  <c r="S60" i="76"/>
  <c r="R60" i="76"/>
  <c r="Q60" i="76"/>
  <c r="T59" i="76"/>
  <c r="S59" i="76"/>
  <c r="R59" i="76"/>
  <c r="Q59" i="76"/>
  <c r="T58" i="76"/>
  <c r="S58" i="76"/>
  <c r="R58" i="76"/>
  <c r="Q58" i="76"/>
  <c r="T57" i="76"/>
  <c r="S57" i="76"/>
  <c r="R57" i="76"/>
  <c r="Q57" i="76"/>
  <c r="T56" i="76"/>
  <c r="S56" i="76"/>
  <c r="R56" i="76"/>
  <c r="Q56" i="76"/>
  <c r="T55" i="76"/>
  <c r="S55" i="76"/>
  <c r="R55" i="76"/>
  <c r="Q55" i="76"/>
  <c r="T54" i="76"/>
  <c r="S54" i="76"/>
  <c r="R54" i="76"/>
  <c r="Q54" i="76"/>
  <c r="T53" i="76"/>
  <c r="S53" i="76"/>
  <c r="R53" i="76"/>
  <c r="Q53" i="76"/>
  <c r="T52" i="76"/>
  <c r="S52" i="76"/>
  <c r="R52" i="76"/>
  <c r="Q52" i="76"/>
  <c r="T51" i="76"/>
  <c r="S51" i="76"/>
  <c r="R51" i="76"/>
  <c r="Q51" i="76"/>
  <c r="T50" i="76"/>
  <c r="S50" i="76"/>
  <c r="R50" i="76"/>
  <c r="Q50" i="76"/>
  <c r="T49" i="76"/>
  <c r="S49" i="76"/>
  <c r="R49" i="76"/>
  <c r="Q49" i="76"/>
  <c r="R48" i="76"/>
  <c r="Q48" i="76"/>
  <c r="R47" i="76"/>
  <c r="Q47" i="76"/>
  <c r="R46" i="76"/>
  <c r="Q46" i="76"/>
  <c r="R45" i="76"/>
  <c r="Q45" i="76"/>
  <c r="R44" i="76"/>
  <c r="Q44" i="76"/>
  <c r="R43" i="76"/>
  <c r="Q43" i="76"/>
  <c r="R42" i="76"/>
  <c r="Q42" i="76"/>
  <c r="R41" i="76"/>
  <c r="Q41" i="76"/>
  <c r="R40" i="76"/>
  <c r="Q40" i="76"/>
  <c r="R39" i="76"/>
  <c r="Q39" i="76"/>
  <c r="R38" i="76"/>
  <c r="Q38" i="76"/>
  <c r="R37" i="76"/>
  <c r="Q37" i="76"/>
  <c r="R36" i="76"/>
  <c r="Q36" i="76"/>
  <c r="R35" i="76"/>
  <c r="Q35" i="76"/>
  <c r="R34" i="76"/>
  <c r="Q34" i="76"/>
  <c r="R33" i="76"/>
  <c r="Q33" i="76"/>
  <c r="R32" i="76"/>
  <c r="Q32" i="76"/>
  <c r="R31" i="76"/>
  <c r="Q31" i="76"/>
  <c r="R30" i="76"/>
  <c r="Q30" i="76"/>
  <c r="R29" i="76"/>
  <c r="Q29" i="76"/>
  <c r="R28" i="76"/>
  <c r="Q28" i="76"/>
  <c r="R27" i="76"/>
  <c r="Q27" i="76"/>
  <c r="R26" i="76"/>
  <c r="Q26" i="76"/>
  <c r="R25" i="76"/>
  <c r="Q25" i="76"/>
  <c r="R24" i="76"/>
  <c r="Q24" i="76"/>
  <c r="R23" i="76"/>
  <c r="Q23" i="76"/>
  <c r="R22" i="76"/>
  <c r="Q22" i="76"/>
  <c r="R21" i="76"/>
  <c r="Q21" i="76"/>
  <c r="R20" i="76"/>
  <c r="Q20" i="76"/>
  <c r="R19" i="76"/>
  <c r="Q19" i="76"/>
  <c r="R18" i="76"/>
  <c r="Q18" i="76"/>
  <c r="R17" i="76"/>
  <c r="Q17" i="76"/>
  <c r="R16" i="76"/>
  <c r="Q16" i="76"/>
  <c r="R15" i="76"/>
  <c r="Q15" i="76"/>
  <c r="R14" i="76"/>
  <c r="Q14" i="76"/>
  <c r="R13" i="76"/>
  <c r="Q13" i="76"/>
  <c r="R12" i="76"/>
  <c r="Q12" i="76"/>
  <c r="R11" i="76"/>
  <c r="Q11" i="76"/>
  <c r="R10" i="76"/>
  <c r="Q10" i="76"/>
  <c r="R9" i="76"/>
  <c r="Q9" i="76"/>
  <c r="R8" i="76"/>
  <c r="Q8" i="76"/>
  <c r="R7" i="76"/>
  <c r="Q7" i="76"/>
  <c r="R24" i="63"/>
  <c r="P24" i="63"/>
  <c r="N24" i="63"/>
  <c r="L24" i="63"/>
  <c r="J24" i="63"/>
  <c r="H24" i="63"/>
  <c r="F24" i="63"/>
  <c r="D24" i="63"/>
  <c r="F151" i="76" l="1"/>
  <c r="G151" i="76"/>
  <c r="H151" i="76"/>
  <c r="E152" i="76"/>
  <c r="F152" i="76"/>
  <c r="G152" i="76"/>
  <c r="I52" i="4"/>
</calcChain>
</file>

<file path=xl/sharedStrings.xml><?xml version="1.0" encoding="utf-8"?>
<sst xmlns="http://schemas.openxmlformats.org/spreadsheetml/2006/main" count="842" uniqueCount="418">
  <si>
    <t>XL Toolbox Settings</t>
  </si>
  <si>
    <t>export_preset</t>
  </si>
  <si>
    <t>&lt;?xml version="1.0" encoding="utf-16"?&gt;_x000D_
&lt;Preset xmlns:xsi="http://www.w3.org/2001/XMLSchema-instance" xmlns:xsd="http://www.w3.org/2001/XMLSchema"&gt;_x000D_
  &lt;Name&gt;Png, 300 dpi, RGB, White canvas&lt;/Name&gt;_x000D_
  &lt;Dpi&gt;400&lt;/Dpi&gt;_x000D_
  &lt;FileType&gt;Png&lt;/FileType&gt;_x000D_
  &lt;ColorSpace&gt;Rgb&lt;/ColorSpace&gt;_x000D_
  &lt;Transparency&gt;TransparentCanvas&lt;/Transparency&gt;_x000D_
  &lt;UseColorProfile&gt;false&lt;/UseColorProfile&gt;_x000D_
  &lt;ColorProfile&gt;ProPhoto&lt;/ColorProfile&gt;_x000D_
&lt;/Preset&gt;</t>
  </si>
  <si>
    <t>export_path</t>
  </si>
  <si>
    <t>S:\Teams\Statistics\Subjects\Crime and Justice\SN-04304.Knife Crime\2018 edition\landing page.Knife crime 7 years.png</t>
  </si>
  <si>
    <t xml:space="preserve">SELECTED OFFENCES INVOLVING A KNIFE OR SHARP INSTRUMENT </t>
  </si>
  <si>
    <t xml:space="preserve">Time period  </t>
  </si>
  <si>
    <t>Attempted murder</t>
  </si>
  <si>
    <t>Threats to kill</t>
  </si>
  <si>
    <t>Robbery</t>
  </si>
  <si>
    <t>Rape</t>
  </si>
  <si>
    <t>Indecent and Sexual assault</t>
  </si>
  <si>
    <t>Homicide</t>
  </si>
  <si>
    <t xml:space="preserve">Total selected offences </t>
  </si>
  <si>
    <t>Year ending March</t>
  </si>
  <si>
    <t>2010/11</t>
  </si>
  <si>
    <t>2011/12</t>
  </si>
  <si>
    <t>2012/13</t>
  </si>
  <si>
    <t>2013/14</t>
  </si>
  <si>
    <t>2014/15</t>
  </si>
  <si>
    <t>2015/16</t>
  </si>
  <si>
    <t>2016/17</t>
  </si>
  <si>
    <t>2017/18</t>
  </si>
  <si>
    <t>2018/19</t>
  </si>
  <si>
    <t>2019/20</t>
  </si>
  <si>
    <t>2020/21</t>
  </si>
  <si>
    <t>2021/22</t>
  </si>
  <si>
    <t>2022/23</t>
  </si>
  <si>
    <t>[x]</t>
  </si>
  <si>
    <t>=</t>
  </si>
  <si>
    <t>2023/24</t>
  </si>
  <si>
    <t>% Change</t>
  </si>
  <si>
    <t>2010/11-  2022/23</t>
  </si>
  <si>
    <t>% change 2019/20 - 2022/23</t>
  </si>
  <si>
    <t>Notes:</t>
  </si>
  <si>
    <t xml:space="preserve">Police recorded knife or sharp instrument offences data are submitted via an additional special collection. Proportions of offences involving the use of a knife or sharp instrument presented in this table are calculated based on figures submitted in this special collection. Other offences exist that are not shown in this table that may include the use of a knife or sharp instrument. </t>
  </si>
  <si>
    <t>Source:</t>
  </si>
  <si>
    <t xml:space="preserve">Selected offences involving a knife or sharp instrument </t>
  </si>
  <si>
    <t>Violent and sexual offences recorded by the police, England and Wales (excluding Greater Manchester Police)</t>
  </si>
  <si>
    <t>Assault with injury and intent to cause serious harm</t>
  </si>
  <si>
    <t>Sexual assault</t>
  </si>
  <si>
    <t>Total selected offences including homicide</t>
  </si>
  <si>
    <t>2020/21 - 2020/22</t>
  </si>
  <si>
    <t>2010/11-  2021/22</t>
  </si>
  <si>
    <t>Proportion of selected offences involving a knife or sharp instrument</t>
  </si>
  <si>
    <t xml:space="preserve">1. Changes to offence codes in April 2012 mean the category of Assault with injury and assault with intent to cause serious harm is not directly comparable with previous years. </t>
  </si>
  <si>
    <t xml:space="preserve">2. Police recorded crime statistics for offences involving a knife or sharp instrument based on data from 43 police forces in England and Wales. Data from Greater Manchester Police are excluded. A review of Greater Manchester Police data has identified undercounting of crimes involving a knife or sharp instrument.  This occurred due to a technical issue with the identification and extraction of all relevant records of these offences from their crime recording system. GMP have changed the methodology they use to extract knife or sharp instrument offences and data from December 2017 onwards have been revised. However, data for earlier periods have not been revised and are likely to exclude relevant crimes that were recorded in GMP. Due to these changes, data for GMP have been excluded from the time series. </t>
  </si>
  <si>
    <t>ONS, Crime in England and Wales: Other related tables, Table F3a and 3b, 22 July 2021 and earlier editions</t>
  </si>
  <si>
    <t>Violent and sexual offences recorded by the police, England and Wales (including Greater Manchester Police)</t>
  </si>
  <si>
    <t>2008/09</t>
  </si>
  <si>
    <t>2009/10</t>
  </si>
  <si>
    <t>2020/21 - 2021/22</t>
  </si>
  <si>
    <t>2010/11 - 2021/22</t>
  </si>
  <si>
    <r>
      <t>Offences recorded as homicide by apparent method of killing</t>
    </r>
    <r>
      <rPr>
        <vertAlign val="superscript"/>
        <sz val="15"/>
        <color theme="0"/>
        <rFont val="National-LFSN Semibd"/>
        <family val="2"/>
      </rPr>
      <t>1</t>
    </r>
  </si>
  <si>
    <t>England and Wales</t>
  </si>
  <si>
    <r>
      <t>Sharp instrument</t>
    </r>
    <r>
      <rPr>
        <vertAlign val="superscript"/>
        <sz val="10"/>
        <rFont val="Open Sans"/>
        <family val="2"/>
      </rPr>
      <t>2</t>
    </r>
  </si>
  <si>
    <r>
      <t>Blunt instument</t>
    </r>
    <r>
      <rPr>
        <vertAlign val="superscript"/>
        <sz val="10"/>
        <rFont val="Open Sans"/>
        <family val="2"/>
      </rPr>
      <t>3</t>
    </r>
  </si>
  <si>
    <t>Hitting, kicking etc</t>
  </si>
  <si>
    <r>
      <t>Strangu-lation</t>
    </r>
    <r>
      <rPr>
        <vertAlign val="superscript"/>
        <sz val="10"/>
        <rFont val="Open Sans"/>
        <family val="2"/>
      </rPr>
      <t>4</t>
    </r>
  </si>
  <si>
    <r>
      <t>Shooting</t>
    </r>
    <r>
      <rPr>
        <vertAlign val="superscript"/>
        <sz val="10"/>
        <rFont val="Open Sans"/>
        <family val="2"/>
      </rPr>
      <t>5</t>
    </r>
  </si>
  <si>
    <t>Explosion</t>
  </si>
  <si>
    <t xml:space="preserve">Burning  </t>
  </si>
  <si>
    <t>Drowning</t>
  </si>
  <si>
    <t>Poison or drugs</t>
  </si>
  <si>
    <r>
      <t>Motor vehicle</t>
    </r>
    <r>
      <rPr>
        <vertAlign val="superscript"/>
        <sz val="10"/>
        <rFont val="Open Sans"/>
        <family val="2"/>
      </rPr>
      <t>6</t>
    </r>
  </si>
  <si>
    <t>Other</t>
  </si>
  <si>
    <t>Not known</t>
  </si>
  <si>
    <t>Total</t>
  </si>
  <si>
    <t>1997/98</t>
  </si>
  <si>
    <t>1998/99</t>
  </si>
  <si>
    <t>1999/00</t>
  </si>
  <si>
    <t>2000/01</t>
  </si>
  <si>
    <t>2001/02</t>
  </si>
  <si>
    <t>2002/03</t>
  </si>
  <si>
    <t>2003/04</t>
  </si>
  <si>
    <t>2004/05</t>
  </si>
  <si>
    <t>2005/06</t>
  </si>
  <si>
    <t>2006/07</t>
  </si>
  <si>
    <t>2007/08</t>
  </si>
  <si>
    <t xml:space="preserve">Notes: </t>
  </si>
  <si>
    <t>(1) Data taken from live database and are subject to revision as cases are dealt with by the police and by the courts, or as further information becomes available. Offences are shown according to the year in which police initially recorded the offence as homicide. This is not necessarily the year in which the incident took place or the year in which any court decision was made. (2) Includes knives and other sharp instruments. (3) Includes firearms used as blunt instruments. (4) Includes asphyxiation and smothering. (5) Includes shooting by crossbow. Excludes offences where firearm used as blunt instrument. (6) Excludes death by careless/dangerous driving and aggravated vehicle taking.</t>
  </si>
  <si>
    <t xml:space="preserve">Sources: </t>
  </si>
  <si>
    <t>1977 to 1994 - Provided by Home Office official</t>
  </si>
  <si>
    <t>1995 to 2007 - Home Office, Statistical Bulletin, Appendix tables - focus on violent crime and sexual offences, Table 2.03, February 2017 and earlier editions;</t>
  </si>
  <si>
    <t>2007/08 onwards – ONS, Homicide in England and Wales: Appendix tables, Table 7A, 25 February 2021 and earlier editions.</t>
  </si>
  <si>
    <r>
      <t>Offences recorded as homicide by apparent method of killing</t>
    </r>
    <r>
      <rPr>
        <vertAlign val="superscript"/>
        <sz val="12"/>
        <color theme="0"/>
        <rFont val="National-LFSN Semibd"/>
        <family val="2"/>
      </rPr>
      <t>1,2</t>
    </r>
  </si>
  <si>
    <t>England and Wales, 2010/11-2019/20</t>
  </si>
  <si>
    <t>Male victims</t>
  </si>
  <si>
    <t>Sharp instrument</t>
  </si>
  <si>
    <t>Blunt instrument</t>
  </si>
  <si>
    <t>Hitting, kicking, etc.</t>
  </si>
  <si>
    <r>
      <t>Strangulation, asphyxiation</t>
    </r>
    <r>
      <rPr>
        <vertAlign val="superscript"/>
        <sz val="9"/>
        <color theme="1"/>
        <rFont val="Open Sans"/>
        <family val="2"/>
      </rPr>
      <t>8</t>
    </r>
  </si>
  <si>
    <r>
      <t>Shooting</t>
    </r>
    <r>
      <rPr>
        <vertAlign val="superscript"/>
        <sz val="9"/>
        <color theme="1"/>
        <rFont val="Open Sans"/>
        <family val="2"/>
      </rPr>
      <t>6</t>
    </r>
  </si>
  <si>
    <r>
      <t>Explosion</t>
    </r>
    <r>
      <rPr>
        <vertAlign val="superscript"/>
        <sz val="9"/>
        <color theme="1"/>
        <rFont val="Open Sans"/>
        <family val="2"/>
      </rPr>
      <t>10</t>
    </r>
  </si>
  <si>
    <t>-</t>
  </si>
  <si>
    <t>Burning</t>
  </si>
  <si>
    <r>
      <t>Motor vehicle</t>
    </r>
    <r>
      <rPr>
        <vertAlign val="superscript"/>
        <sz val="9"/>
        <color theme="1"/>
        <rFont val="Open Sans"/>
        <family val="2"/>
      </rPr>
      <t>11</t>
    </r>
  </si>
  <si>
    <t>% involving a sharp instrument</t>
  </si>
  <si>
    <t>Female victims</t>
  </si>
  <si>
    <r>
      <t>Shooting</t>
    </r>
    <r>
      <rPr>
        <vertAlign val="superscript"/>
        <sz val="9"/>
        <color theme="1"/>
        <rFont val="Open Sans"/>
        <family val="2"/>
      </rPr>
      <t>9</t>
    </r>
  </si>
  <si>
    <t>All victims</t>
  </si>
  <si>
    <r>
      <t>Total</t>
    </r>
    <r>
      <rPr>
        <b/>
        <vertAlign val="superscript"/>
        <sz val="9"/>
        <color theme="1"/>
        <rFont val="Open Sans"/>
        <family val="2"/>
      </rPr>
      <t>3, 4, 5, 6, 7</t>
    </r>
  </si>
  <si>
    <t xml:space="preserve">(1) As at 15 December 2020; figures are subject to revision as cases are dealt with by the police and the courts, or as further information becomes available. (2) Home Office statisticians and Police Forces have undertaken a review of all historical homicide data to update court outcomes and suspect data, this means totals shown in this table will not match previously published figures, as included in Table 2. (3), (4), (5), (6), (7) Years ending March 2012, March 2015, March 2016 and March 2019, March 2020 each include 1 victim with unknown gender. (8) Year ending March 2017 includes 96 victims of Hillsborough. (9) These figures may not agree with those in the weapons tables because (a) figures include cases where the firearm was used as a blunt instrument and (b) homicide figures include shooting by crossbows and are compiled at a later date and take into account the results of police and court decisions. (10) Year ending March 2018 includes 22 victims of the Manchester Arena bombing. (11) Excluding death by careless/dangerous driving and aggravated vehicle taking. </t>
  </si>
  <si>
    <t>ONS, Homicide in England and Wales: Appendix tables, Table 7A, 25 February 2021</t>
  </si>
  <si>
    <t>Year ending March, England and Wales</t>
  </si>
  <si>
    <t>Number</t>
  </si>
  <si>
    <t xml:space="preserve">Offences per 100,000 population </t>
  </si>
  <si>
    <t>Offences per 100,000 population</t>
  </si>
  <si>
    <t>Cleveland</t>
  </si>
  <si>
    <t>Durham</t>
  </si>
  <si>
    <t>Northumbria</t>
  </si>
  <si>
    <t>North East</t>
  </si>
  <si>
    <t>Cheshire</t>
  </si>
  <si>
    <t>Cumbria</t>
  </si>
  <si>
    <t>Lancashire</t>
  </si>
  <si>
    <t>Merseyside</t>
  </si>
  <si>
    <t>/</t>
  </si>
  <si>
    <t>Humberside</t>
  </si>
  <si>
    <t>North Yorkshire</t>
  </si>
  <si>
    <t>South Yorkshire</t>
  </si>
  <si>
    <t>West Yorkshire</t>
  </si>
  <si>
    <t xml:space="preserve">Yorkshire and the Humber </t>
  </si>
  <si>
    <t>Derbyshire</t>
  </si>
  <si>
    <t>Leicestershire</t>
  </si>
  <si>
    <t>Lincolnshire</t>
  </si>
  <si>
    <t>Northamptonshire</t>
  </si>
  <si>
    <t>Nottinghamshire</t>
  </si>
  <si>
    <t xml:space="preserve">East Midlands </t>
  </si>
  <si>
    <t>Staffordshire</t>
  </si>
  <si>
    <t>Warwickshire</t>
  </si>
  <si>
    <t>West Mercia</t>
  </si>
  <si>
    <t>West Midlands</t>
  </si>
  <si>
    <t>West Midlands Region</t>
  </si>
  <si>
    <t>Bedfordshire</t>
  </si>
  <si>
    <t>Cambridgeshire</t>
  </si>
  <si>
    <t>Essex</t>
  </si>
  <si>
    <t>Hertfordshire</t>
  </si>
  <si>
    <t>Norfolk</t>
  </si>
  <si>
    <t>Suffolk</t>
  </si>
  <si>
    <t xml:space="preserve">East of England </t>
  </si>
  <si>
    <t>City of London</t>
  </si>
  <si>
    <t>Metropolitan Police</t>
  </si>
  <si>
    <t>Hampshire</t>
  </si>
  <si>
    <t>Kent</t>
  </si>
  <si>
    <t>Surrey</t>
  </si>
  <si>
    <t>Thames Valley</t>
  </si>
  <si>
    <t xml:space="preserve">South East </t>
  </si>
  <si>
    <t>Avon and Somerset</t>
  </si>
  <si>
    <t>..</t>
  </si>
  <si>
    <t>Dorset</t>
  </si>
  <si>
    <t>Gloucestershire</t>
  </si>
  <si>
    <t>Wiltshire</t>
  </si>
  <si>
    <t>Dyfed-Powys</t>
  </si>
  <si>
    <t>Gwent</t>
  </si>
  <si>
    <t>North Wales</t>
  </si>
  <si>
    <t>South Wales</t>
  </si>
  <si>
    <t>WALES</t>
  </si>
  <si>
    <t>British Transport Police</t>
  </si>
  <si>
    <t>(-) Not Applicable, (..) Not available</t>
  </si>
  <si>
    <t>Knife crime by London borough</t>
  </si>
  <si>
    <t>% Change in total 2020/21 - 2021/22</t>
  </si>
  <si>
    <t>London borough</t>
  </si>
  <si>
    <t>With Injury</t>
  </si>
  <si>
    <t>Westminster</t>
  </si>
  <si>
    <t>Haringey</t>
  </si>
  <si>
    <t>Enfield</t>
  </si>
  <si>
    <t>Lambeth</t>
  </si>
  <si>
    <t>Croydon</t>
  </si>
  <si>
    <t>Newham</t>
  </si>
  <si>
    <t>Tower Hamlets</t>
  </si>
  <si>
    <t>Hackney</t>
  </si>
  <si>
    <t>Southwark</t>
  </si>
  <si>
    <t>Ealing</t>
  </si>
  <si>
    <t>Greenwich</t>
  </si>
  <si>
    <t>Lewisham</t>
  </si>
  <si>
    <t>Brent</t>
  </si>
  <si>
    <t>Camden</t>
  </si>
  <si>
    <t>Islington</t>
  </si>
  <si>
    <t>Waltham Forest</t>
  </si>
  <si>
    <t>Barking &amp; Dagenham</t>
  </si>
  <si>
    <t>Wandsworth</t>
  </si>
  <si>
    <t>Redbridge</t>
  </si>
  <si>
    <t>Barnet</t>
  </si>
  <si>
    <t>Hounslow</t>
  </si>
  <si>
    <t>Hillingdon</t>
  </si>
  <si>
    <t>Kensington &amp; Chelsea</t>
  </si>
  <si>
    <t>Hammersmith &amp; Fulham</t>
  </si>
  <si>
    <t>Merton</t>
  </si>
  <si>
    <t>Bromley</t>
  </si>
  <si>
    <t>Sutton</t>
  </si>
  <si>
    <t>Bexley</t>
  </si>
  <si>
    <t>Havering</t>
  </si>
  <si>
    <t>Harrow</t>
  </si>
  <si>
    <t>Kingston upon Thames</t>
  </si>
  <si>
    <t>Richmond upon Thames</t>
  </si>
  <si>
    <t>Excludes Heathrow Airport which recorded 1 offence in 2019/20</t>
  </si>
  <si>
    <t xml:space="preserve">Source: </t>
  </si>
  <si>
    <t>Metropolitan Police, Crime Statistics 2020/21, accessed 20 July 2021</t>
  </si>
  <si>
    <r>
      <t>Violent incidents in which a knife was used, CSEW data</t>
    </r>
    <r>
      <rPr>
        <vertAlign val="superscript"/>
        <sz val="15"/>
        <color theme="0"/>
        <rFont val="National-LFSN Semibd"/>
        <family val="2"/>
      </rPr>
      <t>1</t>
    </r>
  </si>
  <si>
    <t>Percentage of all incidents, England and Wales</t>
  </si>
  <si>
    <t>Victim-offender relationship</t>
  </si>
  <si>
    <t>Type of violence</t>
  </si>
  <si>
    <t>Domestic</t>
  </si>
  <si>
    <t>Stranger</t>
  </si>
  <si>
    <t>Acquaintance</t>
  </si>
  <si>
    <t>Mugging</t>
  </si>
  <si>
    <t>Wounding</t>
  </si>
  <si>
    <t xml:space="preserve">Robbery </t>
  </si>
  <si>
    <t>Common Assault</t>
  </si>
  <si>
    <t>All violence</t>
  </si>
  <si>
    <t>2001/2</t>
  </si>
  <si>
    <t>2002/3</t>
  </si>
  <si>
    <t>2003/4</t>
  </si>
  <si>
    <t>2004/5</t>
  </si>
  <si>
    <t>2005/6</t>
  </si>
  <si>
    <r>
      <t>2006/7</t>
    </r>
    <r>
      <rPr>
        <vertAlign val="superscript"/>
        <sz val="10"/>
        <rFont val="Open Sans"/>
        <family val="2"/>
      </rPr>
      <t>2</t>
    </r>
  </si>
  <si>
    <t>2007/8</t>
  </si>
  <si>
    <t>2008/9</t>
  </si>
  <si>
    <r>
      <t xml:space="preserve">* </t>
    </r>
    <r>
      <rPr>
        <vertAlign val="superscript"/>
        <sz val="10"/>
        <rFont val="Open Sans"/>
        <family val="2"/>
      </rPr>
      <t>4</t>
    </r>
  </si>
  <si>
    <t>1. Most recent data is for 2017/18 due to chages to the survey in the most recent release of the data which does not include victim-offender relationship and type of violence related to knife crime offences.</t>
  </si>
  <si>
    <t>2. From 2006/07 Common Assault figure is sum of 'Assault with minor injury' and 'Assault with no injury'.</t>
  </si>
  <si>
    <t>3. Data from 2015/16 onwards includes screwdrivers and other stabbing implements and is not comparable with previous years.</t>
  </si>
  <si>
    <t>3. Data not reported for this category.</t>
  </si>
  <si>
    <t>ONS, Nature of crime tables, violence, Table 4, 3 September 2020 and earlier editions</t>
  </si>
  <si>
    <t>Offences involving the possession of a knife or offensive weapon</t>
  </si>
  <si>
    <r>
      <t>Resulting in a caution or sentence by age group, England and Wales</t>
    </r>
    <r>
      <rPr>
        <vertAlign val="superscript"/>
        <sz val="11"/>
        <color theme="0"/>
        <rFont val="National-LFSN Book"/>
        <family val="2"/>
      </rPr>
      <t>1</t>
    </r>
  </si>
  <si>
    <r>
      <t>Disposal Category</t>
    </r>
    <r>
      <rPr>
        <vertAlign val="superscript"/>
        <sz val="9"/>
        <color theme="1"/>
        <rFont val="Open Sans"/>
        <family val="2"/>
      </rPr>
      <t>3</t>
    </r>
  </si>
  <si>
    <r>
      <t xml:space="preserve"> Total</t>
    </r>
    <r>
      <rPr>
        <b/>
        <vertAlign val="superscript"/>
        <sz val="9"/>
        <rFont val="Open Sans"/>
        <family val="2"/>
      </rPr>
      <t>1,2</t>
    </r>
  </si>
  <si>
    <t>Aged 10 to 17</t>
  </si>
  <si>
    <t>Aged 18 and over</t>
  </si>
  <si>
    <r>
      <t>Caution</t>
    </r>
    <r>
      <rPr>
        <vertAlign val="superscript"/>
        <sz val="9"/>
        <rFont val="Open Sans"/>
        <family val="2"/>
      </rPr>
      <t>4</t>
    </r>
  </si>
  <si>
    <t>Absolute / Conditional discharge</t>
  </si>
  <si>
    <t>Fine</t>
  </si>
  <si>
    <t>Community sentence</t>
  </si>
  <si>
    <t>Suspended sentence</t>
  </si>
  <si>
    <t>Immediate custody</t>
  </si>
  <si>
    <r>
      <t xml:space="preserve">Other disposal </t>
    </r>
    <r>
      <rPr>
        <vertAlign val="superscript"/>
        <sz val="9"/>
        <rFont val="Open Sans"/>
        <family val="2"/>
      </rPr>
      <t>5</t>
    </r>
  </si>
  <si>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</si>
  <si>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</si>
  <si>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</si>
  <si>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</si>
  <si>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</si>
  <si>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</si>
  <si>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</si>
  <si>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</si>
  <si>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</si>
  <si>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</si>
  <si>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</si>
  <si>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</si>
  <si>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</si>
  <si>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</si>
  <si>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</si>
  <si>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</si>
  <si>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</si>
  <si>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</si>
  <si>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</si>
  <si>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</si>
  <si>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</si>
  <si>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r>
      <t>Q1 2013</t>
    </r>
    <r>
      <rPr>
        <vertAlign val="superscript"/>
        <sz val="9"/>
        <rFont val="Open Sans"/>
        <family val="2"/>
      </rPr>
      <t>6</t>
    </r>
  </si>
  <si>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</si>
  <si>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</si>
  <si>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</si>
  <si>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</si>
  <si>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</si>
  <si>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</si>
  <si>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</si>
  <si>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</si>
  <si>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</si>
  <si>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</si>
  <si>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</si>
  <si>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</si>
  <si>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</si>
  <si>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</si>
  <si>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</si>
  <si>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</si>
  <si>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</si>
  <si>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</si>
  <si>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</si>
  <si>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</si>
  <si>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</si>
  <si>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</si>
  <si>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</si>
  <si>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</si>
  <si>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r>
      <t>Q2 2019</t>
    </r>
    <r>
      <rPr>
        <vertAlign val="superscript"/>
        <sz val="9"/>
        <rFont val="Open Sans"/>
        <family val="2"/>
      </rPr>
      <t xml:space="preserve"> </t>
    </r>
  </si>
  <si>
    <t>Q3 2019</t>
  </si>
  <si>
    <t xml:space="preserve">Q4 2019 </t>
  </si>
  <si>
    <r>
      <t>Q1 2020</t>
    </r>
    <r>
      <rPr>
        <vertAlign val="superscript"/>
        <sz val="9"/>
        <rFont val="Open Sans"/>
        <family val="2"/>
      </rPr>
      <t xml:space="preserve"> </t>
    </r>
  </si>
  <si>
    <t>Q2 2020</t>
  </si>
  <si>
    <t>Q3 2020</t>
  </si>
  <si>
    <t>Q4 2020</t>
  </si>
  <si>
    <t>Q1 2021</t>
  </si>
  <si>
    <t>Q2 2021</t>
  </si>
  <si>
    <t>Q3 2021</t>
  </si>
  <si>
    <t>Q4 2021</t>
  </si>
  <si>
    <t>Q1 2022</t>
  </si>
  <si>
    <t>1. Includes all 43 police force areas in England and Wales and the British Transport Police.</t>
  </si>
  <si>
    <t xml:space="preserve">2. Total includes cases where there is no age recorded on the system, therefore total may not be equal to the sum of the adult / juvenile breakdown. </t>
  </si>
  <si>
    <t>3. The disposal given in this table is only the most severe of the disposals given as a result of the offender being found guilty and may also be dependent on other offences committed at the same time.</t>
  </si>
  <si>
    <t xml:space="preserve">4. Cautions include juveniles receiving reprimands and warnings or youth cautions. Youth cautions were introduced on April 8th 2013 replacing reprimands and warnings for young offenders. </t>
  </si>
  <si>
    <t>5. Includes cases where an offender is committed to crown court for sentencing and is otherwise dealt with on conviction.</t>
  </si>
  <si>
    <t>6. On 3rd December 2012 offences involving threatening with a knife or offensive weapon in a public place or in a school premises were introduced and are included in the figures from this point on.</t>
  </si>
  <si>
    <t>Ministry of Justice, Knife and offensive weapon sentencing statistics: Year ending March 2021, 19 August 2021, Table 1 and Table 2a.</t>
  </si>
  <si>
    <t>OFFENCES INVOLVING THE POSSESSION OF A KNIFE OR OFFENSIVE WEAPON</t>
  </si>
  <si>
    <r>
      <t xml:space="preserve"> Total England and Wales</t>
    </r>
    <r>
      <rPr>
        <vertAlign val="superscript"/>
        <sz val="9"/>
        <rFont val="Open Sans"/>
        <family val="2"/>
      </rPr>
      <t>1</t>
    </r>
  </si>
  <si>
    <t>Aged           10 to 17</t>
  </si>
  <si>
    <t>Caution</t>
  </si>
  <si>
    <r>
      <t xml:space="preserve">Other disposal </t>
    </r>
    <r>
      <rPr>
        <vertAlign val="superscript"/>
        <sz val="9"/>
        <rFont val="Open Sans"/>
        <family val="2"/>
      </rPr>
      <t>4</t>
    </r>
  </si>
  <si>
    <t>community setnence</t>
  </si>
  <si>
    <t>sespended sentence</t>
  </si>
  <si>
    <t>TOTAL</t>
  </si>
  <si>
    <t>Q1 2013</t>
  </si>
  <si>
    <t xml:space="preserve">Q1 2020 </t>
  </si>
  <si>
    <t>Q1 2020</t>
  </si>
  <si>
    <t>Q2 2022</t>
  </si>
  <si>
    <t>Q3 2022</t>
  </si>
  <si>
    <t>Q4 2022</t>
  </si>
  <si>
    <t>Q1 2023</t>
  </si>
  <si>
    <t>Q2 2023</t>
  </si>
  <si>
    <t>Q3 2023</t>
  </si>
  <si>
    <t>Q4 2023</t>
  </si>
  <si>
    <t>Q1 2024</t>
  </si>
  <si>
    <t>Q2 2024</t>
  </si>
  <si>
    <t>Ministry of Justice, Knife and Offensive Weapon Sentencing Statistics: January to March 2023, 17 August 2023</t>
  </si>
  <si>
    <t xml:space="preserve">Share of proven </t>
  </si>
  <si>
    <t>Notes: See appendix download</t>
  </si>
  <si>
    <t>https://www.gov.uk/government/statistics/knife-and-offensive-weapon-sentencing-statistics-october-to-december-2018</t>
  </si>
  <si>
    <t>From table 2a:</t>
  </si>
  <si>
    <t>TOTAL 2021</t>
  </si>
  <si>
    <t>Community Sentece</t>
  </si>
  <si>
    <t>Custody</t>
  </si>
  <si>
    <t>Juveneiles &lt;17</t>
  </si>
  <si>
    <t>Adult 18+</t>
  </si>
  <si>
    <t>% Share</t>
  </si>
  <si>
    <t>Juveneiles</t>
  </si>
  <si>
    <t>Adults</t>
  </si>
  <si>
    <r>
      <t>NUMBER OF DEFENDANTS PROCEEDED / SENTENCED FOR A POSSESSION OF A KNIFE</t>
    </r>
    <r>
      <rPr>
        <vertAlign val="superscript"/>
        <sz val="16"/>
        <color theme="0"/>
        <rFont val="National-LFSN Semibd"/>
        <family val="2"/>
      </rPr>
      <t>1</t>
    </r>
  </si>
  <si>
    <t>where does caution data come from? Because not in data tool and then other data set is year ending March?</t>
  </si>
  <si>
    <t>proceeded against at magistrates' courts, found guilty and sentenced at all courts, year ending December</t>
  </si>
  <si>
    <t>with the data tool, offfence 10D posession of article with blade or sharp point</t>
  </si>
  <si>
    <t>Length of immediate custodial sentence</t>
  </si>
  <si>
    <t>https://www.gov.uk/government/statistics/criminal-justice-system-statistics-quarterly-march-2016</t>
  </si>
  <si>
    <t>Cautions</t>
  </si>
  <si>
    <t>Proceeded against</t>
  </si>
  <si>
    <t>Found guilty</t>
  </si>
  <si>
    <r>
      <t>Total sentenced</t>
    </r>
    <r>
      <rPr>
        <vertAlign val="superscript"/>
        <sz val="9"/>
        <color theme="1"/>
        <rFont val="Open Sans"/>
        <family val="2"/>
      </rPr>
      <t>(5)</t>
    </r>
  </si>
  <si>
    <r>
      <t>% of total proven offenders</t>
    </r>
    <r>
      <rPr>
        <vertAlign val="superscript"/>
        <sz val="9"/>
        <color theme="1"/>
        <rFont val="Open Sans"/>
        <family val="2"/>
      </rPr>
      <t>(6)</t>
    </r>
  </si>
  <si>
    <t>Up to 3 months</t>
  </si>
  <si>
    <t>Over 3 months up to 6 months</t>
  </si>
  <si>
    <t>6 months up to 1 year</t>
  </si>
  <si>
    <t>1 year exactly</t>
  </si>
  <si>
    <t>Over 1 year up to 18 months</t>
  </si>
  <si>
    <t>Over 18 months up to 3 years</t>
  </si>
  <si>
    <t>Over three years</t>
  </si>
  <si>
    <t>Average custodial sentence length (months)</t>
  </si>
  <si>
    <t>1.  Includes: Having an article with blade or point in public place. (Criminal Justice Act 1988 S.139 as amended by Offensive Weapons Act 1996 S.3); Having an article with blade or point on school premises. (Criminal Justice Act 1988 S.139A (1)(5)(a) as added by Offensive Weapons Act 1996 S.4(1)).</t>
  </si>
  <si>
    <t>2. The figures given in the table on court proceedings relate to persons for whom these offences were the principal offences for which they were dealt with. When a defendant has been found guilty of two or more offences it is the offence for which the heaviest penalty is imposed.  Where the same disposal is imposed for two or more offences, the offence selected is the offence for which the statutory maximum penalty is the most severe.</t>
  </si>
  <si>
    <t xml:space="preserve">3. Every effort is made to ensure that the figures presented are accurate and complete. However, it is important to note that these data have been extracted from large administrative data systems generated by the courts and police forces. As a consequence, care should be taken to ensure data collection processes and their inevitable limitations are taken into account when those data are used. </t>
  </si>
  <si>
    <t xml:space="preserve">4. Excludes convictions data for Cardiff magistrates' court for April, July, and August 2008. </t>
  </si>
  <si>
    <t>5.  In some years the numbers sentenced may exceed the number found guilty as it may be the case that the conviction occurred in the preceding year to the offender being sentenced.</t>
  </si>
  <si>
    <t>6. Proven offenders comprise offenders cautioned or sentenced</t>
  </si>
  <si>
    <t>7. Offence groups and offence types were revised using the Offence Group Classification published in 2022 to reflect offences accurately. Figures produced in previous publications are no longer comparable for offence trends. Tools produced in 2022 should be seen as the true source of information on prosecutions, convictions, sentencing and remand decisions rather than those published in earlier versions of CJSQ.</t>
  </si>
  <si>
    <t xml:space="preserve">Ministry of Justice, Knife and Offensive Weapon Sentencing Statistics: January to March 2023, 17 August 2023, </t>
  </si>
  <si>
    <r>
      <t>Number of defendants proceeded / sentenced for the possession of a knife</t>
    </r>
    <r>
      <rPr>
        <vertAlign val="superscript"/>
        <sz val="15"/>
        <color theme="0"/>
        <rFont val="National-LFSN Semibd"/>
        <family val="2"/>
      </rPr>
      <t>1</t>
    </r>
  </si>
  <si>
    <r>
      <t>Proceeded against at magistrates' courts, found guilty and sentenced at all courts</t>
    </r>
    <r>
      <rPr>
        <vertAlign val="superscript"/>
        <sz val="12"/>
        <color theme="0"/>
        <rFont val="National-LFSN Book"/>
        <family val="2"/>
      </rPr>
      <t>2</t>
    </r>
    <r>
      <rPr>
        <sz val="12"/>
        <color theme="0"/>
        <rFont val="National-LFSN Book"/>
        <family val="2"/>
      </rPr>
      <t xml:space="preserve"> </t>
    </r>
    <r>
      <rPr>
        <vertAlign val="superscript"/>
        <sz val="12"/>
        <color theme="0"/>
        <rFont val="National-LFSN Book"/>
        <family val="2"/>
      </rPr>
      <t>3</t>
    </r>
    <r>
      <rPr>
        <sz val="12"/>
        <color theme="0"/>
        <rFont val="National-LFSN Book"/>
        <family val="2"/>
      </rPr>
      <t xml:space="preserve"> </t>
    </r>
    <r>
      <rPr>
        <vertAlign val="superscript"/>
        <sz val="12"/>
        <color theme="0"/>
        <rFont val="National-LFSN Book"/>
        <family val="2"/>
      </rPr>
      <t>4</t>
    </r>
  </si>
  <si>
    <r>
      <t>Total sentenced</t>
    </r>
    <r>
      <rPr>
        <vertAlign val="superscript"/>
        <sz val="9"/>
        <rFont val="Open Sans"/>
        <family val="2"/>
      </rPr>
      <t>(5)</t>
    </r>
  </si>
  <si>
    <r>
      <t>% of total proven offenders</t>
    </r>
    <r>
      <rPr>
        <vertAlign val="superscript"/>
        <sz val="9"/>
        <rFont val="Open Sans"/>
        <family val="2"/>
      </rPr>
      <t>(6)</t>
    </r>
  </si>
  <si>
    <t>Over 6 months up to 1 year</t>
  </si>
  <si>
    <t>Average custodial sentence length (month)</t>
  </si>
  <si>
    <t>Ministry of Justice, Knife and offensive weapon sentencing statistics: Year ending December 2020, 19 August 2021, Table 1a</t>
  </si>
  <si>
    <t>Ministry of Justice, Criminal Justice System statistics quarterly: December 2020, Outcomes by Offence data tool, 20 May 2021</t>
  </si>
  <si>
    <r>
      <t>Number of finished consultant episodes</t>
    </r>
    <r>
      <rPr>
        <vertAlign val="superscript"/>
        <sz val="14"/>
        <color theme="0"/>
        <rFont val="National-LFSN Semibd"/>
        <family val="2"/>
      </rPr>
      <t>1</t>
    </r>
    <r>
      <rPr>
        <sz val="14"/>
        <color theme="0"/>
        <rFont val="National-LFSN Semibd"/>
        <family val="2"/>
      </rPr>
      <t xml:space="preserve"> for assault by a sharp object</t>
    </r>
    <r>
      <rPr>
        <vertAlign val="superscript"/>
        <sz val="14"/>
        <color theme="0"/>
        <rFont val="National-LFSN Semibd"/>
        <family val="2"/>
      </rPr>
      <t>2</t>
    </r>
  </si>
  <si>
    <r>
      <t>By sex, admission method and age group, England</t>
    </r>
    <r>
      <rPr>
        <vertAlign val="superscript"/>
        <sz val="11"/>
        <color theme="0"/>
        <rFont val="National-LFSN Book"/>
        <family val="2"/>
      </rPr>
      <t>3</t>
    </r>
  </si>
  <si>
    <t xml:space="preserve">Change </t>
  </si>
  <si>
    <t>Of which</t>
  </si>
  <si>
    <t>Of which aged</t>
  </si>
  <si>
    <t>Year</t>
  </si>
  <si>
    <t xml:space="preserve">Male </t>
  </si>
  <si>
    <t>Female</t>
  </si>
  <si>
    <t xml:space="preserve">Unknown </t>
  </si>
  <si>
    <t>Under 16</t>
  </si>
  <si>
    <t>16-18</t>
  </si>
  <si>
    <t>19+</t>
  </si>
  <si>
    <t>19-21</t>
  </si>
  <si>
    <t>Over 21</t>
  </si>
  <si>
    <t>Unknown</t>
  </si>
  <si>
    <t xml:space="preserve"> ---</t>
  </si>
  <si>
    <t xml:space="preserve">1. A finished consultant episode (FCE) is a continuous period of admitted patient care under one consultant within one healthcare provider. FCEs are counted against the year in which they end. Figures do not represent the number of different patients, as a person may have more than one episode of care within the same stay in hospital or in different stays in the same year. </t>
  </si>
  <si>
    <t>2 - ICD code -10 - X99</t>
  </si>
  <si>
    <t>3 - Activity in English NHS Hospitals and English NHS commissioned activity in the independent sector</t>
  </si>
  <si>
    <t>NHS Digital, Hospital Admitted Patient Care Activity, 2022-23: External causes tables, 21 September 2022.</t>
  </si>
  <si>
    <t>Total number of incidents and rate per 100,000 population</t>
  </si>
  <si>
    <t>Percentage change</t>
  </si>
  <si>
    <t>Borough</t>
  </si>
  <si>
    <t>No.</t>
  </si>
  <si>
    <t>Rate</t>
  </si>
  <si>
    <t>2024/25</t>
  </si>
  <si>
    <t>2023/24 - 2024/25</t>
  </si>
  <si>
    <t xml:space="preserve"> Change per 100,000 population 2023/24 to 2024/25</t>
  </si>
  <si>
    <t>Actual Change 2023/24 - 2024/25</t>
  </si>
  <si>
    <t>% Change 2023/24 - 2024/25</t>
  </si>
  <si>
    <t>Q3 2024</t>
  </si>
  <si>
    <t>Q4 2024</t>
  </si>
  <si>
    <t>Q1 2025</t>
  </si>
  <si>
    <t>Barking and Dagenham</t>
  </si>
  <si>
    <t>ENGLAND AND WALES</t>
  </si>
  <si>
    <t>Greater Manchester</t>
  </si>
  <si>
    <t>North West</t>
  </si>
  <si>
    <t>Violent and sexual offences recorded by the police, England and Wales</t>
  </si>
  <si>
    <t>North Yorkshire Police have not reconciled the data for the latest quarter (January to March 2025)</t>
  </si>
  <si>
    <t>Devon and Cornwall</t>
  </si>
  <si>
    <t>Sussex</t>
  </si>
  <si>
    <t>London</t>
  </si>
  <si>
    <t xml:space="preserve">Police recorded knife and sharp instrument offences data are submitted via an additional special collection. Proportions of offences involving the use of a knife or sharp instrument presented in this table are calculated based on figures submitted in this special collection. Other offences exist that are not shown in this table that may include the use of a knife or sharp instrument. </t>
  </si>
  <si>
    <t>Knife and sharp instument offences recorded by the police for selected offences</t>
  </si>
  <si>
    <t>South West</t>
  </si>
  <si>
    <t>Assault with injury and assault with intent to cause serious harm</t>
  </si>
  <si>
    <r>
      <rPr>
        <sz val="10"/>
        <color theme="1"/>
        <rFont val="Arial"/>
        <family val="2"/>
      </rPr>
      <t>ONS,</t>
    </r>
    <r>
      <rPr>
        <sz val="10"/>
        <color theme="10"/>
        <rFont val="Arial"/>
        <family val="2"/>
      </rPr>
      <t xml:space="preserve"> Crime in England and Wales: Appendix tables</t>
    </r>
    <r>
      <rPr>
        <sz val="10"/>
        <color theme="1"/>
        <rFont val="Arial"/>
        <family val="2"/>
      </rPr>
      <t>, Worksheet B5 (accessed 7 October 2025).</t>
    </r>
  </si>
  <si>
    <r>
      <t>Source: ONS, Crime in England and Wales</t>
    </r>
    <r>
      <rPr>
        <sz val="8"/>
        <color rgb="FF0070C0"/>
        <rFont val="Open Sans"/>
        <family val="2"/>
      </rPr>
      <t>, Police force area data tables - year ending March 2025</t>
    </r>
    <r>
      <rPr>
        <sz val="8"/>
        <color theme="1"/>
        <rFont val="Open Sans"/>
        <family val="2"/>
      </rPr>
      <t>, Table P6, accessed 7 October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</si>
</sst>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164" formatCode="_-* #,##0_-;\-* #,##0_-;_-* &quot;-&quot;_-;_-@_-"/>
    <numFmt numFmtId="165" formatCode="_-&quot;£&quot;* #,##0.00_-;\-&quot;£&quot;* #,##0.00_-;_-&quot;£&quot;* &quot;-&quot;??_-;_-@_-"/>
    <numFmt numFmtId="166" formatCode="_-* #,##0.00_-;\-* #,##0.00_-;_-* &quot;-&quot;??_-;_-@_-"/>
    <numFmt numFmtId="167" formatCode="0.0%"/>
    <numFmt numFmtId="168" formatCode="_-* #,##0_-;\-* #,##0_-;_-* &quot;-&quot;??_-;_-@_-"/>
    <numFmt numFmtId="169" formatCode="_-[$€-2]* #,##0.00_-;\-[$€-2]* #,##0.00_-;_-[$€-2]* &quot;-&quot;??_-"/>
    <numFmt numFmtId="170" formatCode="#,##0.00_ ;[Red]\-#,##0.00\ "/>
    <numFmt numFmtId="171" formatCode="General_)"/>
    <numFmt numFmtId="172" formatCode="_-* #,##0.0_-;\-* #,##0.0_-;_-* &quot;-&quot;??_-;_-@_-"/>
    <numFmt numFmtId="173" formatCode="_(* #,##0_);_(* \(#,##0\);_(* &quot;-&quot;??_);_(@_)"/>
    <numFmt numFmtId="174" formatCode="\+0.0%;\-0.0%"/>
    <numFmt numFmtId="175" formatCode="0_)"/>
    <numFmt numFmtId="176" formatCode="\+0%;\-0%;0%"/>
    <numFmt numFmtId="177" formatCode="0.0"/>
    <numFmt numFmtId="178" formatCode="\+0.0%"/>
    <numFmt numFmtId="179" formatCode="\+0;\-0"/>
    <numFmt numFmtId="180" formatCode="\+0%;\-0%"/>
    <numFmt numFmtId="181" formatCode="#,##0.0"/>
  </numFmts>
  <fonts count="15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8"/>
      <name val="Arial"/>
      <family val="2"/>
    </font>
    <font>
      <sz val="10"/>
      <name val="Arial"/>
      <family val="2"/>
    </font>
    <font>
      <b/>
      <sz val="12"/>
      <name val="Arial"/>
      <family val="2"/>
    </font>
    <font>
      <sz val="10"/>
      <name val="Arial"/>
      <family val="2"/>
    </font>
    <font>
      <sz val="12"/>
      <color indexed="8"/>
      <name val="Arial"/>
      <family val="2"/>
    </font>
    <font>
      <u/>
      <sz val="12"/>
      <color indexed="12"/>
      <name val="Arial"/>
      <family val="2"/>
    </font>
    <font>
      <sz val="12"/>
      <color theme="1"/>
      <name val="Arial"/>
      <family val="2"/>
    </font>
    <font>
      <u/>
      <sz val="10"/>
      <color indexed="12"/>
      <name val="Arial"/>
      <family val="2"/>
    </font>
    <font>
      <sz val="10"/>
      <name val="Helvetica"/>
      <family val="2"/>
    </font>
    <font>
      <sz val="10"/>
      <name val="Arial"/>
      <family val="2"/>
    </font>
    <font>
      <sz val="8"/>
      <name val="Arial"/>
      <family val="2"/>
    </font>
    <font>
      <sz val="8"/>
      <color indexed="9"/>
      <name val="Arial"/>
      <family val="2"/>
    </font>
    <font>
      <u/>
      <sz val="8"/>
      <color indexed="12"/>
      <name val="Arial"/>
      <family val="2"/>
    </font>
    <font>
      <u/>
      <sz val="20"/>
      <name val="Arial"/>
      <family val="2"/>
    </font>
    <font>
      <b/>
      <sz val="8"/>
      <color indexed="9"/>
      <name val="Arial"/>
      <family val="2"/>
    </font>
    <font>
      <b/>
      <sz val="8"/>
      <color indexed="18"/>
      <name val="Arial"/>
      <family val="2"/>
    </font>
    <font>
      <b/>
      <sz val="12"/>
      <name val="Arial"/>
      <family val="2"/>
    </font>
    <font>
      <sz val="8"/>
      <color indexed="18"/>
      <name val="Arial"/>
      <family val="2"/>
    </font>
    <font>
      <u/>
      <sz val="10"/>
      <color theme="10"/>
      <name val="Arial"/>
      <family val="2"/>
    </font>
    <font>
      <u/>
      <sz val="12"/>
      <color theme="10"/>
      <name val="Arial"/>
      <family val="2"/>
    </font>
    <font>
      <u/>
      <sz val="10"/>
      <color theme="10"/>
      <name val="Arial"/>
      <family val="2"/>
    </font>
    <font>
      <sz val="11"/>
      <color indexed="8"/>
      <name val="Calibri"/>
      <family val="2"/>
    </font>
    <font>
      <u/>
      <sz val="8"/>
      <color indexed="12"/>
      <name val="Arial"/>
      <family val="2"/>
    </font>
    <font>
      <sz val="8"/>
      <color indexed="9"/>
      <name val="Arial"/>
      <family val="2"/>
    </font>
    <font>
      <u/>
      <sz val="20"/>
      <name val="Arial"/>
      <family val="2"/>
    </font>
    <font>
      <b/>
      <sz val="8"/>
      <color indexed="9"/>
      <name val="Arial"/>
      <family val="2"/>
    </font>
    <font>
      <b/>
      <sz val="8"/>
      <color indexed="18"/>
      <name val="Arial"/>
      <family val="2"/>
    </font>
    <font>
      <sz val="8"/>
      <color indexed="18"/>
      <name val="Arial"/>
      <family val="2"/>
    </font>
    <font>
      <b/>
      <sz val="12"/>
      <color indexed="8"/>
      <name val="Arial"/>
      <family val="2"/>
    </font>
    <font>
      <u/>
      <sz val="11"/>
      <color theme="10"/>
      <name val="Calibri"/>
      <family val="2"/>
    </font>
    <font>
      <b/>
      <sz val="10"/>
      <name val="Frutiger LT Std 45 Light"/>
      <family val="2"/>
    </font>
    <font>
      <sz val="10"/>
      <name val="Frutiger LT Std 45 Light"/>
      <family val="2"/>
    </font>
    <font>
      <sz val="9"/>
      <name val="Open Sans"/>
      <family val="2"/>
    </font>
    <font>
      <b/>
      <sz val="10"/>
      <name val="Open Sans"/>
      <family val="2"/>
    </font>
    <font>
      <b/>
      <sz val="9"/>
      <name val="Open Sans"/>
      <family val="2"/>
    </font>
    <font>
      <sz val="10"/>
      <color indexed="8"/>
      <name val="Open Sans"/>
      <family val="2"/>
    </font>
    <font>
      <sz val="10"/>
      <name val="Open Sans"/>
      <family val="2"/>
    </font>
    <font>
      <sz val="9"/>
      <color theme="1"/>
      <name val="Open Sans"/>
      <family val="2"/>
    </font>
    <font>
      <b/>
      <sz val="10"/>
      <color indexed="8"/>
      <name val="Open Sans"/>
      <family val="2"/>
    </font>
    <font>
      <b/>
      <sz val="11"/>
      <name val="Open Sans"/>
      <family val="2"/>
    </font>
    <font>
      <sz val="8"/>
      <name val="Open Sans"/>
      <family val="2"/>
    </font>
    <font>
      <sz val="12"/>
      <color indexed="8"/>
      <name val="Foundry Form Sans"/>
      <family val="2"/>
    </font>
    <font>
      <sz val="12"/>
      <color indexed="9"/>
      <name val="Foundry Form Sans"/>
      <family val="2"/>
    </font>
    <font>
      <sz val="12"/>
      <color indexed="20"/>
      <name val="Foundry Form Sans"/>
      <family val="2"/>
    </font>
    <font>
      <b/>
      <sz val="12"/>
      <color indexed="52"/>
      <name val="Foundry Form Sans"/>
      <family val="2"/>
    </font>
    <font>
      <b/>
      <sz val="12"/>
      <color indexed="9"/>
      <name val="Foundry Form Sans"/>
      <family val="2"/>
    </font>
    <font>
      <i/>
      <sz val="12"/>
      <color indexed="23"/>
      <name val="Foundry Form Sans"/>
      <family val="2"/>
    </font>
    <font>
      <sz val="12"/>
      <color indexed="17"/>
      <name val="Foundry Form Sans"/>
      <family val="2"/>
    </font>
    <font>
      <b/>
      <sz val="15"/>
      <color indexed="62"/>
      <name val="Foundry Form Sans"/>
      <family val="2"/>
    </font>
    <font>
      <b/>
      <sz val="13"/>
      <color indexed="62"/>
      <name val="Foundry Form Sans"/>
      <family val="2"/>
    </font>
    <font>
      <b/>
      <sz val="11"/>
      <color indexed="62"/>
      <name val="Foundry Form Sans"/>
      <family val="2"/>
    </font>
    <font>
      <sz val="12"/>
      <color indexed="62"/>
      <name val="Foundry Form Sans"/>
      <family val="2"/>
    </font>
    <font>
      <sz val="12"/>
      <color indexed="52"/>
      <name val="Foundry Form Sans"/>
      <family val="2"/>
    </font>
    <font>
      <sz val="12"/>
      <color indexed="60"/>
      <name val="Foundry Form Sans"/>
      <family val="2"/>
    </font>
    <font>
      <b/>
      <sz val="12"/>
      <color indexed="63"/>
      <name val="Foundry Form Sans"/>
      <family val="2"/>
    </font>
    <font>
      <b/>
      <sz val="18"/>
      <color indexed="62"/>
      <name val="Cambria"/>
      <family val="2"/>
    </font>
    <font>
      <b/>
      <sz val="12"/>
      <color indexed="8"/>
      <name val="Foundry Form Sans"/>
      <family val="2"/>
    </font>
    <font>
      <sz val="12"/>
      <color indexed="10"/>
      <name val="Foundry Form Sans"/>
      <family val="2"/>
    </font>
    <font>
      <sz val="9"/>
      <color theme="0"/>
      <name val="Open Sans"/>
      <family val="2"/>
    </font>
    <font>
      <b/>
      <sz val="9"/>
      <color theme="0"/>
      <name val="Open Sans"/>
      <family val="2"/>
    </font>
    <font>
      <sz val="10"/>
      <color theme="0"/>
      <name val="Open Sans"/>
      <family val="2"/>
    </font>
    <font>
      <vertAlign val="superscript"/>
      <sz val="10"/>
      <name val="Open Sans"/>
      <family val="2"/>
    </font>
    <font>
      <b/>
      <sz val="10"/>
      <color theme="0"/>
      <name val="Open Sans"/>
      <family val="2"/>
    </font>
    <font>
      <sz val="12"/>
      <color theme="0"/>
      <name val="Open Sans"/>
      <family val="2"/>
    </font>
    <font>
      <sz val="14"/>
      <color theme="0"/>
      <name val="Frutiger LT Std 45 Light"/>
      <family val="2"/>
    </font>
    <font>
      <b/>
      <sz val="12"/>
      <name val="Open Sans"/>
      <family val="2"/>
    </font>
    <font>
      <b/>
      <sz val="12"/>
      <color theme="0"/>
      <name val="Open Sans"/>
      <family val="2"/>
    </font>
    <font>
      <sz val="11"/>
      <color theme="0"/>
      <name val="Open Sans"/>
      <family val="2"/>
    </font>
    <font>
      <b/>
      <sz val="14"/>
      <name val="Open Sans"/>
      <family val="2"/>
    </font>
    <font>
      <sz val="10"/>
      <color theme="1"/>
      <name val="Open Sans"/>
      <family val="2"/>
    </font>
    <font>
      <sz val="10"/>
      <name val="Arial"/>
      <family val="2"/>
    </font>
    <font>
      <sz val="10"/>
      <name val="Courier"/>
      <family val="3"/>
    </font>
    <font>
      <sz val="9"/>
      <color indexed="8"/>
      <name val="Open Sans"/>
      <family val="2"/>
    </font>
    <font>
      <u/>
      <sz val="11"/>
      <color theme="10"/>
      <name val="Open Sans"/>
      <family val="2"/>
    </font>
    <font>
      <sz val="8"/>
      <color indexed="23"/>
      <name val="Open Sans"/>
      <family val="2"/>
    </font>
    <font>
      <b/>
      <sz val="9"/>
      <color indexed="8"/>
      <name val="Open Sans"/>
      <family val="2"/>
    </font>
    <font>
      <sz val="9"/>
      <color rgb="FF000000"/>
      <name val="Open Sans"/>
      <family val="2"/>
    </font>
    <font>
      <i/>
      <sz val="9"/>
      <name val="Open Sans"/>
      <family val="2"/>
    </font>
    <font>
      <b/>
      <sz val="9"/>
      <color rgb="FF000000"/>
      <name val="Open Sans"/>
      <family val="2"/>
    </font>
    <font>
      <i/>
      <sz val="9"/>
      <color rgb="FF000000"/>
      <name val="Open Sans"/>
      <family val="2"/>
    </font>
    <font>
      <b/>
      <sz val="11"/>
      <color rgb="FFFFFFFF"/>
      <name val="Open Sans"/>
      <family val="2"/>
    </font>
    <font>
      <sz val="14"/>
      <color theme="0"/>
      <name val="National-LFSN Semibd"/>
      <family val="2"/>
    </font>
    <font>
      <sz val="15"/>
      <color theme="0"/>
      <name val="National-LFSN Semibd"/>
      <family val="2"/>
    </font>
    <font>
      <sz val="11"/>
      <color theme="0"/>
      <name val="National-LFSN Book"/>
      <family val="2"/>
    </font>
    <font>
      <sz val="12"/>
      <color theme="0"/>
      <name val="National-LFSN Book"/>
      <family val="2"/>
    </font>
    <font>
      <vertAlign val="superscript"/>
      <sz val="15"/>
      <color theme="0"/>
      <name val="National-LFSN Semibd"/>
      <family val="2"/>
    </font>
    <font>
      <vertAlign val="superscript"/>
      <sz val="14"/>
      <color theme="0"/>
      <name val="National-LFSN Semibd"/>
      <family val="2"/>
    </font>
    <font>
      <vertAlign val="superscript"/>
      <sz val="9"/>
      <name val="Open Sans"/>
      <family val="2"/>
    </font>
    <font>
      <sz val="8"/>
      <color theme="1"/>
      <name val="Open Sans"/>
      <family val="2"/>
    </font>
    <font>
      <b/>
      <sz val="9"/>
      <color theme="1"/>
      <name val="Open Sans"/>
      <family val="2"/>
    </font>
    <font>
      <vertAlign val="superscript"/>
      <sz val="11"/>
      <color theme="0"/>
      <name val="National-LFSN Book"/>
      <family val="2"/>
    </font>
    <font>
      <u/>
      <sz val="9"/>
      <color theme="10"/>
      <name val="Open Sans"/>
      <family val="2"/>
    </font>
    <font>
      <sz val="9"/>
      <color rgb="FF36845B"/>
      <name val="Open Sans"/>
      <family val="2"/>
    </font>
    <font>
      <sz val="9"/>
      <color theme="4"/>
      <name val="Open Sans"/>
      <family val="2"/>
    </font>
    <font>
      <sz val="10"/>
      <color theme="1" tint="0.249977111117893"/>
      <name val="Open Sans"/>
      <family val="2"/>
    </font>
    <font>
      <sz val="10"/>
      <color theme="4"/>
      <name val="Open Sans"/>
      <family val="2"/>
    </font>
    <font>
      <sz val="9"/>
      <color indexed="23"/>
      <name val="Open Sans"/>
      <family val="2"/>
    </font>
    <font>
      <vertAlign val="superscript"/>
      <sz val="9"/>
      <color theme="1"/>
      <name val="Open Sans"/>
      <family val="2"/>
    </font>
    <font>
      <i/>
      <sz val="9"/>
      <color theme="1"/>
      <name val="Open Sans"/>
      <family val="2"/>
    </font>
    <font>
      <b/>
      <sz val="9"/>
      <color theme="4"/>
      <name val="Open Sans"/>
      <family val="2"/>
    </font>
    <font>
      <sz val="9"/>
      <name val="Arial"/>
      <family val="2"/>
    </font>
    <font>
      <sz val="12"/>
      <color theme="0"/>
      <name val="National-LFSN Semibd"/>
      <family val="2"/>
    </font>
    <font>
      <vertAlign val="superscript"/>
      <sz val="12"/>
      <color theme="0"/>
      <name val="National-LFSN Semibd"/>
      <family val="2"/>
    </font>
    <font>
      <sz val="10"/>
      <color rgb="FF000000"/>
      <name val="Arial"/>
      <family val="2"/>
    </font>
    <font>
      <sz val="8"/>
      <color rgb="FF000000"/>
      <name val="Arial"/>
      <family val="2"/>
    </font>
    <font>
      <vertAlign val="superscript"/>
      <sz val="8"/>
      <color rgb="FF000000"/>
      <name val="Arial"/>
      <family val="2"/>
    </font>
    <font>
      <b/>
      <vertAlign val="superscript"/>
      <sz val="9"/>
      <name val="Open Sans"/>
      <family val="2"/>
    </font>
    <font>
      <b/>
      <sz val="10"/>
      <color rgb="FF000000"/>
      <name val="Arial"/>
      <family val="2"/>
    </font>
    <font>
      <sz val="11"/>
      <color rgb="FF000000"/>
      <name val="Calibri"/>
      <family val="2"/>
    </font>
    <font>
      <vertAlign val="superscript"/>
      <sz val="12"/>
      <color theme="0"/>
      <name val="National-LFSN Book"/>
      <family val="2"/>
    </font>
    <font>
      <sz val="10"/>
      <color rgb="FF3684C6"/>
      <name val="Open Sans"/>
      <family val="2"/>
    </font>
    <font>
      <u/>
      <sz val="9"/>
      <color rgb="FF3684C6"/>
      <name val="Open Sans"/>
      <family val="2"/>
    </font>
    <font>
      <sz val="9"/>
      <color rgb="FF3684C6"/>
      <name val="Open Sans"/>
      <family val="2"/>
    </font>
    <font>
      <sz val="8"/>
      <color rgb="FF3684C6"/>
      <name val="Open Sans"/>
      <family val="2"/>
    </font>
    <font>
      <b/>
      <sz val="9"/>
      <color rgb="FF3684C6"/>
      <name val="Open Sans"/>
      <family val="2"/>
    </font>
    <font>
      <u/>
      <sz val="10"/>
      <color rgb="FF3684C6"/>
      <name val="Arial"/>
      <family val="2"/>
    </font>
    <font>
      <sz val="10"/>
      <color rgb="FF3684C6"/>
      <name val="Frutiger LT Std 45 Light"/>
      <family val="2"/>
    </font>
    <font>
      <u/>
      <sz val="9"/>
      <color rgb="FF3684C6"/>
      <name val="Arial"/>
      <family val="2"/>
    </font>
    <font>
      <sz val="10"/>
      <color rgb="FF3684C6"/>
      <name val="Arial"/>
      <family val="2"/>
    </font>
    <font>
      <b/>
      <vertAlign val="superscript"/>
      <sz val="9"/>
      <color theme="1"/>
      <name val="Open Sans"/>
      <family val="2"/>
    </font>
    <font>
      <b/>
      <sz val="11"/>
      <color theme="1"/>
      <name val="Calibri"/>
      <family val="2"/>
      <scheme val="minor"/>
    </font>
    <font>
      <sz val="11"/>
      <color theme="0"/>
      <name val="Calibri"/>
      <family val="2"/>
      <scheme val="minor"/>
    </font>
    <font>
      <sz val="8"/>
      <name val="Arial"/>
      <family val="2"/>
    </font>
    <font>
      <u/>
      <sz val="11"/>
      <color theme="10"/>
      <name val="Calibri"/>
      <family val="2"/>
      <scheme val="minor"/>
    </font>
    <font>
      <sz val="8"/>
      <color rgb="FF0070C0"/>
      <name val="Open Sans"/>
      <family val="2"/>
    </font>
    <font>
      <b/>
      <sz val="10"/>
      <color theme="1"/>
      <name val="Open Sans"/>
      <family val="2"/>
    </font>
    <font>
      <vertAlign val="superscript"/>
      <sz val="10"/>
      <color theme="1"/>
      <name val="Open Sans"/>
      <family val="2"/>
    </font>
    <font>
      <u/>
      <sz val="10"/>
      <color theme="10"/>
      <name val="Open Sans"/>
      <family val="2"/>
    </font>
    <font>
      <b/>
      <sz val="11"/>
      <color theme="0"/>
      <name val="Open Sans"/>
      <family val="2"/>
    </font>
    <font>
      <b/>
      <sz val="16"/>
      <color theme="0"/>
      <name val="Open Sans"/>
      <family val="2"/>
    </font>
    <font>
      <b/>
      <sz val="8"/>
      <color rgb="FF000000"/>
      <name val="Open Sans"/>
      <family val="2"/>
    </font>
    <font>
      <b/>
      <sz val="15"/>
      <color theme="4"/>
      <name val="National-LFSN Semibd"/>
      <family val="2"/>
    </font>
    <font>
      <vertAlign val="superscript"/>
      <sz val="8"/>
      <name val="Open Sans"/>
      <family val="2"/>
    </font>
    <font>
      <sz val="14"/>
      <color theme="4"/>
      <name val="National-LFSN Semibd"/>
      <family val="2"/>
    </font>
    <font>
      <sz val="12"/>
      <color theme="4"/>
      <name val="National-LFSN Book"/>
      <family val="2"/>
    </font>
    <font>
      <b/>
      <sz val="14"/>
      <color theme="4"/>
      <name val="National-LFSN Semibd"/>
      <family val="2"/>
    </font>
    <font>
      <sz val="16"/>
      <color theme="0"/>
      <name val="National-LFSN Semibd"/>
      <family val="2"/>
    </font>
    <font>
      <vertAlign val="superscript"/>
      <sz val="16"/>
      <color theme="0"/>
      <name val="National-LFSN Semibd"/>
      <family val="2"/>
    </font>
    <font>
      <sz val="13"/>
      <color theme="0"/>
      <name val="National-LFSN Book"/>
      <family val="2"/>
    </font>
    <font>
      <b/>
      <sz val="10.5"/>
      <color rgb="FF000000"/>
      <name val="Open Sans"/>
      <family val="2"/>
    </font>
    <font>
      <b/>
      <sz val="11"/>
      <color theme="0"/>
      <name val="National-LFSN Book"/>
      <family val="2"/>
    </font>
    <font>
      <sz val="10"/>
      <color theme="1"/>
      <name val="Arial"/>
      <family val="2"/>
    </font>
    <font>
      <sz val="14"/>
      <color theme="0"/>
      <name val="National-LFSN Semibd"/>
    </font>
    <font>
      <sz val="11"/>
      <color theme="0"/>
      <name val="National-LFSN Book"/>
    </font>
    <font>
      <sz val="10"/>
      <color theme="10"/>
      <name val="Arial"/>
      <family val="2"/>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theme="0"/>
        <bgColor indexed="64"/>
      </patternFill>
    </fill>
    <fill>
      <patternFill patternType="solid">
        <fgColor indexed="16"/>
      </patternFill>
    </fill>
    <fill>
      <patternFill patternType="solid">
        <fgColor indexed="17"/>
      </patternFill>
    </fill>
    <fill>
      <patternFill patternType="solid">
        <fgColor indexed="43"/>
      </patternFill>
    </fill>
    <fill>
      <patternFill patternType="solid">
        <fgColor indexed="48"/>
      </patternFill>
    </fill>
    <fill>
      <patternFill patternType="solid"/>
    </fill>
    <fill>
      <patternFill patternType="solid">
        <fgColor indexed="18"/>
      </patternFill>
    </fill>
    <fill>
      <patternFill patternType="solid">
        <fgColor indexed="65"/>
        <bgColor indexed="64"/>
      </patternFill>
    </fill>
    <fill>
      <patternFill patternType="solid">
        <fgColor theme="0" tint="-4.9989318521683403E-2"/>
        <bgColor indexed="64"/>
      </patternFill>
    </fill>
    <fill>
      <patternFill patternType="solid">
        <fgColor indexed="22"/>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2"/>
      </patternFill>
    </fill>
    <fill>
      <patternFill patternType="solid">
        <fgColor indexed="9"/>
      </patternFill>
    </fill>
    <fill>
      <patternFill patternType="solid">
        <fgColor indexed="55"/>
      </patternFill>
    </fill>
    <fill>
      <patternFill patternType="solid">
        <fgColor theme="4"/>
        <bgColor indexed="64"/>
      </patternFill>
    </fill>
    <fill>
      <patternFill patternType="solid">
        <fgColor theme="2"/>
        <bgColor indexed="64"/>
      </patternFill>
    </fill>
    <fill>
      <patternFill patternType="solid">
        <fgColor rgb="FFFFFFFF"/>
        <bgColor rgb="FFFFFFFF"/>
      </patternFill>
    </fill>
    <fill>
      <patternFill patternType="solid">
        <fgColor theme="2"/>
        <bgColor rgb="FFFFFFFF"/>
      </patternFill>
    </fill>
    <fill>
      <patternFill patternType="solid">
        <fgColor theme="0"/>
        <bgColor rgb="FFFFFFFF"/>
      </patternFill>
    </fill>
    <fill>
      <patternFill patternType="solid">
        <fgColor rgb="FFF0EEED"/>
        <bgColor rgb="FF000000"/>
      </patternFill>
    </fill>
    <fill>
      <patternFill patternType="solid">
        <fgColor rgb="FFFFFF00"/>
        <bgColor indexed="64"/>
      </patternFill>
    </fill>
    <fill>
      <patternFill patternType="solid">
        <fgColor theme="5"/>
        <bgColor indexed="64"/>
      </patternFill>
    </fill>
    <fill>
      <patternFill patternType="solid">
        <fgColor theme="0" tint="-0.14999847407452621"/>
        <bgColor indexed="64"/>
      </patternFill>
    </fill>
  </fills>
  <borders count="1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mediumDashed">
        <color theme="4"/>
      </bottom>
      <diagonal/>
    </border>
    <border>
      <left/>
      <right/>
      <top style="mediumDashed">
        <color theme="4"/>
      </top>
      <bottom/>
      <diagonal/>
    </border>
    <border>
      <left/>
      <right/>
      <top/>
      <bottom style="thin">
        <color theme="4"/>
      </bottom>
      <diagonal/>
    </border>
    <border>
      <left/>
      <right/>
      <top/>
      <bottom style="thin">
        <color theme="0" tint="-0.14993743705557422"/>
      </bottom>
      <diagonal/>
    </border>
    <border>
      <left/>
      <right/>
      <top style="thin">
        <color theme="0" tint="-0.14993743705557422"/>
      </top>
      <bottom style="thin">
        <color theme="0" tint="-0.14993743705557422"/>
      </bottom>
      <diagonal/>
    </border>
    <border>
      <left/>
      <right/>
      <top style="thin">
        <color theme="0" tint="-0.14993743705557422"/>
      </top>
      <bottom style="thin">
        <color theme="4"/>
      </bottom>
      <diagonal/>
    </border>
  </borders>
  <cellStyleXfs count="292">
    <xf numFmtId="0" fontId="0" fillId="0" borderId="0"/>
    <xf numFmtId="166" fontId="11" fillId="0" borderId="0" applyFont="0" applyFill="0" applyBorder="0" applyAlignment="0" applyProtection="0"/>
    <xf numFmtId="166" fontId="16" fillId="0" borderId="0" applyFont="0" applyFill="0" applyBorder="0" applyAlignment="0" applyProtection="0"/>
    <xf numFmtId="9" fontId="11" fillId="0" borderId="0" applyFont="0" applyFill="0" applyBorder="0" applyAlignment="0" applyProtection="0"/>
    <xf numFmtId="0" fontId="14" fillId="0" borderId="0"/>
    <xf numFmtId="166" fontId="14" fillId="0" borderId="0" applyFont="0" applyFill="0" applyBorder="0" applyAlignment="0" applyProtection="0"/>
    <xf numFmtId="9" fontId="14" fillId="0" borderId="0" applyFont="0" applyFill="0" applyBorder="0" applyAlignment="0" applyProtection="0"/>
    <xf numFmtId="0" fontId="17" fillId="0" borderId="0"/>
    <xf numFmtId="0" fontId="18" fillId="0" borderId="0" applyNumberFormat="0" applyFill="0" applyBorder="0" applyAlignment="0" applyProtection="0">
      <alignment vertical="top"/>
      <protection locked="0"/>
    </xf>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5" borderId="0" applyNumberFormat="0" applyBorder="0" applyAlignment="0" applyProtection="0"/>
    <xf numFmtId="0" fontId="17" fillId="8" borderId="0" applyNumberFormat="0" applyBorder="0" applyAlignment="0" applyProtection="0"/>
    <xf numFmtId="0" fontId="17" fillId="11" borderId="0" applyNumberFormat="0" applyBorder="0" applyAlignment="0" applyProtection="0"/>
    <xf numFmtId="0" fontId="17" fillId="0" borderId="0"/>
    <xf numFmtId="0" fontId="14" fillId="0" borderId="0"/>
    <xf numFmtId="0" fontId="17" fillId="12" borderId="1" applyNumberFormat="0" applyFont="0" applyAlignment="0" applyProtection="0"/>
    <xf numFmtId="0" fontId="21" fillId="0" borderId="0"/>
    <xf numFmtId="0" fontId="20" fillId="0" borderId="0" applyNumberFormat="0" applyFill="0" applyBorder="0" applyAlignment="0" applyProtection="0">
      <alignment vertical="top"/>
      <protection locked="0"/>
    </xf>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0" borderId="0"/>
    <xf numFmtId="9" fontId="22" fillId="0" borderId="0" applyFont="0" applyFill="0" applyBorder="0" applyAlignment="0" applyProtection="0"/>
    <xf numFmtId="169" fontId="22" fillId="0" borderId="0" applyFont="0" applyFill="0" applyBorder="0" applyAlignment="0" applyProtection="0"/>
    <xf numFmtId="0" fontId="23" fillId="0" borderId="0">
      <alignment horizontal="left"/>
    </xf>
    <xf numFmtId="4" fontId="24" fillId="14" borderId="0"/>
    <xf numFmtId="4" fontId="24" fillId="15" borderId="0"/>
    <xf numFmtId="4" fontId="23" fillId="16" borderId="0"/>
    <xf numFmtId="0" fontId="24" fillId="17" borderId="0">
      <alignment horizontal="left"/>
    </xf>
    <xf numFmtId="0" fontId="25" fillId="18" borderId="0"/>
    <xf numFmtId="0" fontId="26" fillId="18" borderId="0"/>
    <xf numFmtId="170" fontId="23" fillId="0" borderId="0">
      <alignment horizontal="right"/>
    </xf>
    <xf numFmtId="0" fontId="27" fillId="19" borderId="0">
      <alignment horizontal="left"/>
    </xf>
    <xf numFmtId="0" fontId="27" fillId="17" borderId="0">
      <alignment horizontal="left"/>
    </xf>
    <xf numFmtId="0" fontId="28" fillId="0" borderId="0">
      <alignment horizontal="left"/>
    </xf>
    <xf numFmtId="0" fontId="23" fillId="0" borderId="0">
      <alignment horizontal="left"/>
    </xf>
    <xf numFmtId="0" fontId="29" fillId="0" borderId="0"/>
    <xf numFmtId="0" fontId="30" fillId="0" borderId="0">
      <alignment horizontal="left"/>
    </xf>
    <xf numFmtId="0" fontId="28" fillId="0" borderId="0"/>
    <xf numFmtId="0" fontId="28" fillId="0" borderId="0"/>
    <xf numFmtId="0" fontId="22" fillId="0" borderId="0"/>
    <xf numFmtId="166" fontId="17" fillId="0" borderId="0" applyFont="0" applyFill="0" applyBorder="0" applyAlignment="0" applyProtection="0"/>
    <xf numFmtId="166" fontId="19" fillId="0" borderId="0" applyFont="0" applyFill="0" applyBorder="0" applyAlignment="0" applyProtection="0"/>
    <xf numFmtId="0" fontId="2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11" fillId="0" borderId="0"/>
    <xf numFmtId="0" fontId="19" fillId="0" borderId="0"/>
    <xf numFmtId="0" fontId="19" fillId="0" borderId="0"/>
    <xf numFmtId="0" fontId="11" fillId="0" borderId="0"/>
    <xf numFmtId="0" fontId="11" fillId="0" borderId="0"/>
    <xf numFmtId="0" fontId="10" fillId="0" borderId="0"/>
    <xf numFmtId="0" fontId="33" fillId="0" borderId="0" applyNumberFormat="0" applyFill="0" applyBorder="0" applyAlignment="0" applyProtection="0"/>
    <xf numFmtId="166"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166" fontId="9" fillId="0" borderId="0" applyFont="0" applyFill="0" applyBorder="0" applyAlignment="0" applyProtection="0"/>
    <xf numFmtId="0" fontId="9" fillId="0" borderId="0"/>
    <xf numFmtId="166" fontId="9"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9"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9" fontId="11" fillId="0" borderId="0" applyFont="0" applyFill="0" applyBorder="0" applyAlignment="0" applyProtection="0"/>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12" fillId="0" borderId="0">
      <alignment horizontal="left"/>
    </xf>
    <xf numFmtId="4" fontId="36" fillId="14" borderId="0"/>
    <xf numFmtId="4" fontId="36" fillId="15" borderId="0"/>
    <xf numFmtId="4" fontId="12" fillId="16" borderId="0"/>
    <xf numFmtId="0" fontId="36" fillId="17" borderId="0">
      <alignment horizontal="left"/>
    </xf>
    <xf numFmtId="0" fontId="35" fillId="20" borderId="0"/>
    <xf numFmtId="0" fontId="37" fillId="20" borderId="0"/>
    <xf numFmtId="170" fontId="12" fillId="0" borderId="0">
      <alignment horizontal="right"/>
    </xf>
    <xf numFmtId="0" fontId="38" fillId="19" borderId="0">
      <alignment horizontal="left"/>
    </xf>
    <xf numFmtId="0" fontId="38" fillId="17" borderId="0">
      <alignment horizontal="left"/>
    </xf>
    <xf numFmtId="0" fontId="39" fillId="0" borderId="0">
      <alignment horizontal="left"/>
    </xf>
    <xf numFmtId="0" fontId="12" fillId="0" borderId="0">
      <alignment horizontal="left"/>
    </xf>
    <xf numFmtId="0" fontId="15" fillId="0" borderId="0"/>
    <xf numFmtId="0" fontId="40" fillId="0" borderId="0">
      <alignment horizontal="left"/>
    </xf>
    <xf numFmtId="0" fontId="39" fillId="0" borderId="0"/>
    <xf numFmtId="0" fontId="39" fillId="0" borderId="0"/>
    <xf numFmtId="0" fontId="11" fillId="0" borderId="0"/>
    <xf numFmtId="0" fontId="42" fillId="0" borderId="0" applyNumberFormat="0" applyFill="0" applyBorder="0" applyAlignment="0" applyProtection="0">
      <alignment vertical="top"/>
      <protection locked="0"/>
    </xf>
    <xf numFmtId="0" fontId="11" fillId="0" borderId="0"/>
    <xf numFmtId="0" fontId="9" fillId="0" borderId="0"/>
    <xf numFmtId="0" fontId="9" fillId="0" borderId="0"/>
    <xf numFmtId="0" fontId="9" fillId="0" borderId="0"/>
    <xf numFmtId="0" fontId="9" fillId="0" borderId="0"/>
    <xf numFmtId="0" fontId="9" fillId="0" borderId="0"/>
    <xf numFmtId="0" fontId="19" fillId="0" borderId="0"/>
    <xf numFmtId="0" fontId="11" fillId="0" borderId="0"/>
    <xf numFmtId="0" fontId="11" fillId="0" borderId="0"/>
    <xf numFmtId="0" fontId="11" fillId="0" borderId="0"/>
    <xf numFmtId="0" fontId="11" fillId="0" borderId="0"/>
    <xf numFmtId="0" fontId="11" fillId="0" borderId="0"/>
    <xf numFmtId="0" fontId="11" fillId="0" borderId="0"/>
    <xf numFmtId="9" fontId="9" fillId="0" borderId="0" applyFont="0" applyFill="0" applyBorder="0" applyAlignment="0" applyProtection="0"/>
    <xf numFmtId="9" fontId="17" fillId="0" borderId="0" applyFont="0" applyFill="0" applyBorder="0" applyAlignment="0" applyProtection="0"/>
    <xf numFmtId="9" fontId="19" fillId="0" borderId="0" applyFont="0" applyFill="0" applyBorder="0" applyAlignment="0" applyProtection="0"/>
    <xf numFmtId="0" fontId="11" fillId="0" borderId="0"/>
    <xf numFmtId="171" fontId="41" fillId="0" borderId="0"/>
    <xf numFmtId="166" fontId="19" fillId="0" borderId="0" applyFont="0" applyFill="0" applyBorder="0" applyAlignment="0" applyProtection="0"/>
    <xf numFmtId="166" fontId="11" fillId="0" borderId="0" applyFont="0" applyFill="0" applyBorder="0" applyAlignment="0" applyProtection="0"/>
    <xf numFmtId="166" fontId="9"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9" fillId="0" borderId="0" applyFont="0" applyFill="0" applyBorder="0" applyAlignment="0" applyProtection="0"/>
    <xf numFmtId="0" fontId="11" fillId="0" borderId="0"/>
    <xf numFmtId="0" fontId="11" fillId="0" borderId="0"/>
    <xf numFmtId="0" fontId="9" fillId="0" borderId="0"/>
    <xf numFmtId="166" fontId="11" fillId="0" borderId="0" applyFont="0" applyFill="0" applyBorder="0" applyAlignment="0" applyProtection="0"/>
    <xf numFmtId="166" fontId="17" fillId="0" borderId="0" applyFont="0" applyFill="0" applyBorder="0" applyAlignment="0" applyProtection="0"/>
    <xf numFmtId="0" fontId="42" fillId="0" borderId="0" applyNumberFormat="0" applyFill="0" applyBorder="0" applyAlignment="0" applyProtection="0">
      <alignment vertical="top"/>
      <protection locked="0"/>
    </xf>
    <xf numFmtId="166" fontId="11" fillId="0" borderId="0" applyFont="0" applyFill="0" applyBorder="0" applyAlignment="0" applyProtection="0"/>
    <xf numFmtId="0" fontId="11" fillId="0" borderId="0"/>
    <xf numFmtId="0" fontId="19" fillId="0" borderId="0"/>
    <xf numFmtId="0" fontId="19" fillId="0" borderId="0"/>
    <xf numFmtId="0" fontId="11" fillId="0" borderId="0"/>
    <xf numFmtId="0" fontId="19" fillId="0" borderId="0"/>
    <xf numFmtId="0" fontId="11" fillId="0" borderId="0"/>
    <xf numFmtId="0" fontId="9" fillId="0" borderId="0"/>
    <xf numFmtId="0" fontId="11" fillId="0" borderId="0"/>
    <xf numFmtId="0" fontId="9" fillId="0" borderId="0"/>
    <xf numFmtId="0" fontId="9" fillId="0" borderId="0"/>
    <xf numFmtId="0" fontId="9" fillId="0" borderId="0"/>
    <xf numFmtId="9" fontId="19"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8" fillId="0" borderId="0"/>
    <xf numFmtId="166" fontId="8" fillId="0" borderId="0" applyFont="0" applyFill="0" applyBorder="0" applyAlignment="0" applyProtection="0"/>
    <xf numFmtId="166" fontId="11" fillId="0" borderId="0" applyFont="0" applyFill="0" applyBorder="0" applyAlignment="0" applyProtection="0"/>
    <xf numFmtId="166" fontId="17"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8"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8" fillId="0" borderId="0" applyFont="0" applyFill="0" applyBorder="0" applyAlignment="0" applyProtection="0"/>
    <xf numFmtId="0" fontId="8" fillId="0" borderId="0"/>
    <xf numFmtId="0" fontId="8" fillId="0" borderId="0"/>
    <xf numFmtId="0" fontId="22"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7" fillId="0" borderId="0"/>
    <xf numFmtId="0" fontId="7" fillId="0" borderId="0"/>
    <xf numFmtId="166" fontId="7" fillId="0" borderId="0" applyFont="0" applyFill="0" applyBorder="0" applyAlignment="0" applyProtection="0"/>
    <xf numFmtId="166" fontId="11" fillId="0" borderId="0" applyFont="0" applyFill="0" applyBorder="0" applyAlignment="0" applyProtection="0"/>
    <xf numFmtId="166" fontId="17"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7"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7"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31" fillId="0" borderId="0" applyNumberFormat="0" applyFill="0" applyBorder="0" applyAlignment="0" applyProtection="0"/>
    <xf numFmtId="0" fontId="54" fillId="7" borderId="0" applyNumberFormat="0" applyBorder="0" applyAlignment="0" applyProtection="0"/>
    <xf numFmtId="0" fontId="54" fillId="9" borderId="0" applyNumberFormat="0" applyBorder="0" applyAlignment="0" applyProtection="0"/>
    <xf numFmtId="0" fontId="54" fillId="12" borderId="0" applyNumberFormat="0" applyBorder="0" applyAlignment="0" applyProtection="0"/>
    <xf numFmtId="0" fontId="54" fillId="7" borderId="0" applyNumberFormat="0" applyBorder="0" applyAlignment="0" applyProtection="0"/>
    <xf numFmtId="0" fontId="54" fillId="6" borderId="0" applyNumberFormat="0" applyBorder="0" applyAlignment="0" applyProtection="0"/>
    <xf numFmtId="0" fontId="54" fillId="12" borderId="0" applyNumberFormat="0" applyBorder="0" applyAlignment="0" applyProtection="0"/>
    <xf numFmtId="0" fontId="54" fillId="22" borderId="0" applyNumberFormat="0" applyBorder="0" applyAlignment="0" applyProtection="0"/>
    <xf numFmtId="0" fontId="54" fillId="9" borderId="0" applyNumberFormat="0" applyBorder="0" applyAlignment="0" applyProtection="0"/>
    <xf numFmtId="0" fontId="54" fillId="16" borderId="0" applyNumberFormat="0" applyBorder="0" applyAlignment="0" applyProtection="0"/>
    <xf numFmtId="0" fontId="54" fillId="22" borderId="0" applyNumberFormat="0" applyBorder="0" applyAlignment="0" applyProtection="0"/>
    <xf numFmtId="0" fontId="54" fillId="8" borderId="0" applyNumberFormat="0" applyBorder="0" applyAlignment="0" applyProtection="0"/>
    <xf numFmtId="0" fontId="54" fillId="16" borderId="0" applyNumberFormat="0" applyBorder="0" applyAlignment="0" applyProtection="0"/>
    <xf numFmtId="0" fontId="55" fillId="23" borderId="0" applyNumberFormat="0" applyBorder="0" applyAlignment="0" applyProtection="0"/>
    <xf numFmtId="0" fontId="55" fillId="9" borderId="0" applyNumberFormat="0" applyBorder="0" applyAlignment="0" applyProtection="0"/>
    <xf numFmtId="0" fontId="55" fillId="16" borderId="0" applyNumberFormat="0" applyBorder="0" applyAlignment="0" applyProtection="0"/>
    <xf numFmtId="0" fontId="55" fillId="22" borderId="0" applyNumberFormat="0" applyBorder="0" applyAlignment="0" applyProtection="0"/>
    <xf numFmtId="0" fontId="55" fillId="23" borderId="0" applyNumberFormat="0" applyBorder="0" applyAlignment="0" applyProtection="0"/>
    <xf numFmtId="0" fontId="55" fillId="9" borderId="0" applyNumberFormat="0" applyBorder="0" applyAlignment="0" applyProtection="0"/>
    <xf numFmtId="0" fontId="55" fillId="23" borderId="0" applyNumberFormat="0" applyBorder="0" applyAlignment="0" applyProtection="0"/>
    <xf numFmtId="0" fontId="55" fillId="24" borderId="0" applyNumberFormat="0" applyBorder="0" applyAlignment="0" applyProtection="0"/>
    <xf numFmtId="0" fontId="55" fillId="25" borderId="0" applyNumberFormat="0" applyBorder="0" applyAlignment="0" applyProtection="0"/>
    <xf numFmtId="0" fontId="55" fillId="26" borderId="0" applyNumberFormat="0" applyBorder="0" applyAlignment="0" applyProtection="0"/>
    <xf numFmtId="0" fontId="55" fillId="23" borderId="0" applyNumberFormat="0" applyBorder="0" applyAlignment="0" applyProtection="0"/>
    <xf numFmtId="0" fontId="55" fillId="27" borderId="0" applyNumberFormat="0" applyBorder="0" applyAlignment="0" applyProtection="0"/>
    <xf numFmtId="0" fontId="56" fillId="3" borderId="0" applyNumberFormat="0" applyBorder="0" applyAlignment="0" applyProtection="0"/>
    <xf numFmtId="0" fontId="57" fillId="28" borderId="2" applyNumberFormat="0" applyAlignment="0" applyProtection="0"/>
    <xf numFmtId="0" fontId="58" fillId="29" borderId="3" applyNumberFormat="0" applyAlignment="0" applyProtection="0"/>
    <xf numFmtId="166"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59" fillId="0" borderId="0" applyNumberFormat="0" applyFill="0" applyBorder="0" applyAlignment="0" applyProtection="0"/>
    <xf numFmtId="0" fontId="60" fillId="4" borderId="0" applyNumberFormat="0" applyBorder="0" applyAlignment="0" applyProtection="0"/>
    <xf numFmtId="0" fontId="61" fillId="0" borderId="4" applyNumberFormat="0" applyFill="0" applyAlignment="0" applyProtection="0"/>
    <xf numFmtId="0" fontId="62" fillId="0" borderId="5" applyNumberFormat="0" applyFill="0" applyAlignment="0" applyProtection="0"/>
    <xf numFmtId="0" fontId="63" fillId="0" borderId="6" applyNumberFormat="0" applyFill="0" applyAlignment="0" applyProtection="0"/>
    <xf numFmtId="0" fontId="63" fillId="0" borderId="0" applyNumberFormat="0" applyFill="0" applyBorder="0" applyAlignment="0" applyProtection="0"/>
    <xf numFmtId="0" fontId="64" fillId="16" borderId="2" applyNumberFormat="0" applyAlignment="0" applyProtection="0"/>
    <xf numFmtId="0" fontId="65" fillId="0" borderId="7" applyNumberFormat="0" applyFill="0" applyAlignment="0" applyProtection="0"/>
    <xf numFmtId="0" fontId="66" fillId="16" borderId="0" applyNumberFormat="0" applyBorder="0" applyAlignment="0" applyProtection="0"/>
    <xf numFmtId="0" fontId="6" fillId="0" borderId="0"/>
    <xf numFmtId="0" fontId="11" fillId="12" borderId="1" applyNumberFormat="0" applyFont="0" applyAlignment="0" applyProtection="0"/>
    <xf numFmtId="0" fontId="67" fillId="28" borderId="8" applyNumberFormat="0" applyAlignment="0" applyProtection="0"/>
    <xf numFmtId="9" fontId="11" fillId="0" borderId="0" applyFont="0" applyFill="0" applyBorder="0" applyAlignment="0" applyProtection="0"/>
    <xf numFmtId="9" fontId="6" fillId="0" borderId="0" applyFont="0" applyFill="0" applyBorder="0" applyAlignment="0" applyProtection="0"/>
    <xf numFmtId="0" fontId="68" fillId="0" borderId="0" applyNumberFormat="0" applyFill="0" applyBorder="0" applyAlignment="0" applyProtection="0"/>
    <xf numFmtId="0" fontId="69" fillId="0" borderId="9" applyNumberFormat="0" applyFill="0" applyAlignment="0" applyProtection="0"/>
    <xf numFmtId="0" fontId="70" fillId="0" borderId="0" applyNumberFormat="0" applyFill="0" applyBorder="0" applyAlignment="0" applyProtection="0"/>
    <xf numFmtId="0" fontId="5" fillId="0" borderId="0"/>
    <xf numFmtId="166" fontId="5" fillId="0" borderId="0" applyFont="0" applyFill="0" applyBorder="0" applyAlignment="0" applyProtection="0"/>
    <xf numFmtId="9" fontId="5" fillId="0" borderId="0" applyFont="0" applyFill="0" applyBorder="0" applyAlignment="0" applyProtection="0"/>
    <xf numFmtId="0" fontId="4" fillId="0" borderId="0"/>
    <xf numFmtId="166" fontId="4" fillId="0" borderId="0" applyFont="0" applyFill="0" applyBorder="0" applyAlignment="0" applyProtection="0"/>
    <xf numFmtId="166" fontId="11" fillId="0" borderId="0" applyFont="0" applyFill="0" applyBorder="0" applyAlignment="0" applyProtection="0"/>
    <xf numFmtId="166" fontId="17"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4"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4" fillId="0" borderId="0" applyFont="0" applyFill="0" applyBorder="0" applyAlignment="0" applyProtection="0"/>
    <xf numFmtId="0" fontId="25" fillId="20" borderId="0"/>
    <xf numFmtId="0" fontId="26" fillId="20" borderId="0"/>
    <xf numFmtId="0" fontId="83"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166" fontId="3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9" fontId="3" fillId="0" borderId="0" applyFont="0" applyFill="0" applyBorder="0" applyAlignment="0" applyProtection="0"/>
    <xf numFmtId="175" fontId="84" fillId="0" borderId="0"/>
    <xf numFmtId="0" fontId="121" fillId="0" borderId="0"/>
    <xf numFmtId="0" fontId="116" fillId="0" borderId="0" applyNumberFormat="0" applyBorder="0" applyProtection="0"/>
    <xf numFmtId="0" fontId="2" fillId="0" borderId="0"/>
    <xf numFmtId="0" fontId="136" fillId="0" borderId="0" applyNumberFormat="0" applyFill="0" applyBorder="0" applyAlignment="0" applyProtection="0"/>
    <xf numFmtId="166" fontId="19" fillId="0" borderId="0" applyFont="0" applyFill="0" applyBorder="0" applyAlignment="0" applyProtection="0"/>
    <xf numFmtId="0" fontId="1" fillId="0" borderId="0"/>
    <xf numFmtId="9" fontId="50" fillId="0" borderId="0" applyFont="0" applyFill="0" applyBorder="0" applyAlignment="0" applyProtection="0"/>
    <xf numFmtId="0" fontId="31" fillId="0" borderId="0" applyNumberFormat="0" applyFill="0" applyBorder="0" applyAlignment="0" applyProtection="0"/>
    <xf numFmtId="0" fontId="50" fillId="0" borderId="0"/>
    <xf numFmtId="166" fontId="50" fillId="0" borderId="0" applyFont="0" applyFill="0" applyBorder="0" applyAlignment="0" applyProtection="0"/>
    <xf numFmtId="0" fontId="121" fillId="0" borderId="0"/>
    <xf numFmtId="0" fontId="121" fillId="0" borderId="0"/>
    <xf numFmtId="0" fontId="104" fillId="0" borderId="0" applyNumberFormat="0" applyFill="0" applyBorder="0" applyAlignment="0" applyProtection="0"/>
    <xf numFmtId="0" fontId="116" fillId="0" borderId="0" applyNumberFormat="0" applyBorder="0" applyProtection="0"/>
    <xf numFmtId="0" fontId="11" fillId="0" borderId="0"/>
    <xf numFmtId="9" fontId="11" fillId="0" borderId="0" applyFont="0" applyFill="0" applyBorder="0" applyAlignment="0" applyProtection="0"/>
  </cellStyleXfs>
  <cellXfs count="756">
    <xf numFmtId="0" fontId="0" fillId="0" borderId="0" xfId="0"/>
    <xf numFmtId="0" fontId="44" fillId="0" borderId="0" xfId="0" applyFont="1"/>
    <xf numFmtId="0" fontId="43" fillId="0" borderId="0" xfId="0" applyFont="1"/>
    <xf numFmtId="0" fontId="44" fillId="13" borderId="0" xfId="0" applyFont="1" applyFill="1"/>
    <xf numFmtId="0" fontId="0" fillId="0" borderId="0" xfId="0" applyAlignment="1">
      <alignment wrapText="1"/>
    </xf>
    <xf numFmtId="167" fontId="49" fillId="0" borderId="0" xfId="3" applyNumberFormat="1" applyFont="1" applyFill="1" applyBorder="1" applyAlignment="1">
      <alignment horizontal="right"/>
    </xf>
    <xf numFmtId="0" fontId="49" fillId="0" borderId="0" xfId="0" applyFont="1" applyAlignment="1">
      <alignment horizontal="left"/>
    </xf>
    <xf numFmtId="0" fontId="49" fillId="0" borderId="0" xfId="0" applyFont="1" applyAlignment="1">
      <alignment horizontal="left" wrapText="1"/>
    </xf>
    <xf numFmtId="0" fontId="46" fillId="0" borderId="0" xfId="0" applyFont="1" applyAlignment="1">
      <alignment horizontal="right"/>
    </xf>
    <xf numFmtId="0" fontId="49" fillId="21" borderId="0" xfId="0" applyFont="1" applyFill="1" applyAlignment="1">
      <alignment horizontal="left"/>
    </xf>
    <xf numFmtId="0" fontId="49" fillId="13" borderId="0" xfId="0" applyFont="1" applyFill="1" applyAlignment="1">
      <alignment horizontal="left"/>
    </xf>
    <xf numFmtId="0" fontId="49" fillId="0" borderId="0" xfId="0" applyFont="1" applyAlignment="1">
      <alignment horizontal="right"/>
    </xf>
    <xf numFmtId="0" fontId="75" fillId="30" borderId="0" xfId="0" applyFont="1" applyFill="1" applyAlignment="1">
      <alignment horizontal="left" wrapText="1"/>
    </xf>
    <xf numFmtId="0" fontId="75" fillId="30" borderId="0" xfId="0" applyFont="1" applyFill="1" applyAlignment="1">
      <alignment horizontal="right"/>
    </xf>
    <xf numFmtId="0" fontId="77" fillId="30" borderId="0" xfId="0" applyFont="1" applyFill="1"/>
    <xf numFmtId="0" fontId="77" fillId="0" borderId="0" xfId="0" applyFont="1"/>
    <xf numFmtId="0" fontId="73" fillId="30" borderId="0" xfId="0" applyFont="1" applyFill="1"/>
    <xf numFmtId="0" fontId="49" fillId="0" borderId="0" xfId="0" applyFont="1"/>
    <xf numFmtId="0" fontId="75" fillId="30" borderId="0" xfId="0" applyFont="1" applyFill="1"/>
    <xf numFmtId="0" fontId="80" fillId="30" borderId="0" xfId="101" applyFont="1" applyFill="1" applyAlignment="1">
      <alignment horizontal="left"/>
    </xf>
    <xf numFmtId="0" fontId="75" fillId="30" borderId="0" xfId="101" applyFont="1" applyFill="1" applyAlignment="1">
      <alignment horizontal="left"/>
    </xf>
    <xf numFmtId="49" fontId="49" fillId="13" borderId="0" xfId="101" applyNumberFormat="1" applyFont="1" applyFill="1"/>
    <xf numFmtId="0" fontId="49" fillId="13" borderId="0" xfId="101" applyFont="1" applyFill="1"/>
    <xf numFmtId="0" fontId="71" fillId="30" borderId="0" xfId="99" applyFont="1" applyFill="1" applyAlignment="1">
      <alignment horizontal="right"/>
    </xf>
    <xf numFmtId="0" fontId="71" fillId="30" borderId="0" xfId="99" applyFont="1" applyFill="1"/>
    <xf numFmtId="0" fontId="72" fillId="30" borderId="0" xfId="99" applyFont="1" applyFill="1"/>
    <xf numFmtId="0" fontId="45" fillId="0" borderId="0" xfId="99" applyFont="1"/>
    <xf numFmtId="0" fontId="45" fillId="0" borderId="0" xfId="99" applyFont="1" applyAlignment="1">
      <alignment horizontal="right"/>
    </xf>
    <xf numFmtId="0" fontId="47" fillId="0" borderId="0" xfId="99" applyFont="1"/>
    <xf numFmtId="0" fontId="45" fillId="0" borderId="0" xfId="99" applyFont="1" applyAlignment="1">
      <alignment wrapText="1"/>
    </xf>
    <xf numFmtId="49" fontId="48" fillId="0" borderId="0" xfId="140" applyNumberFormat="1" applyFont="1" applyAlignment="1">
      <alignment horizontal="right"/>
    </xf>
    <xf numFmtId="0" fontId="76" fillId="30" borderId="0" xfId="99" applyFont="1" applyFill="1"/>
    <xf numFmtId="0" fontId="79" fillId="30" borderId="0" xfId="99" applyFont="1" applyFill="1"/>
    <xf numFmtId="0" fontId="76" fillId="30" borderId="0" xfId="99" applyFont="1" applyFill="1" applyAlignment="1">
      <alignment horizontal="left"/>
    </xf>
    <xf numFmtId="0" fontId="76" fillId="30" borderId="0" xfId="99" applyFont="1" applyFill="1" applyAlignment="1">
      <alignment horizontal="center" wrapText="1"/>
    </xf>
    <xf numFmtId="0" fontId="49" fillId="13" borderId="0" xfId="99" applyFont="1" applyFill="1" applyAlignment="1">
      <alignment wrapText="1"/>
    </xf>
    <xf numFmtId="168" fontId="49" fillId="13" borderId="0" xfId="27" applyNumberFormat="1" applyFont="1" applyFill="1" applyBorder="1"/>
    <xf numFmtId="0" fontId="49" fillId="13" borderId="0" xfId="101" applyFont="1" applyFill="1" applyAlignment="1">
      <alignment horizontal="right"/>
    </xf>
    <xf numFmtId="0" fontId="49" fillId="13" borderId="0" xfId="99" applyFont="1" applyFill="1"/>
    <xf numFmtId="0" fontId="49" fillId="30" borderId="0" xfId="0" applyFont="1" applyFill="1" applyAlignment="1">
      <alignment horizontal="left"/>
    </xf>
    <xf numFmtId="0" fontId="49" fillId="30" borderId="0" xfId="0" applyFont="1" applyFill="1" applyAlignment="1">
      <alignment horizontal="right"/>
    </xf>
    <xf numFmtId="0" fontId="46" fillId="30" borderId="0" xfId="0" applyFont="1" applyFill="1" applyAlignment="1">
      <alignment horizontal="right"/>
    </xf>
    <xf numFmtId="0" fontId="95" fillId="30" borderId="0" xfId="0" applyFont="1" applyFill="1" applyAlignment="1">
      <alignment horizontal="left"/>
    </xf>
    <xf numFmtId="0" fontId="96" fillId="30" borderId="0" xfId="0" applyFont="1" applyFill="1" applyAlignment="1">
      <alignment horizontal="right"/>
    </xf>
    <xf numFmtId="0" fontId="97" fillId="30" borderId="0" xfId="0" applyFont="1" applyFill="1" applyAlignment="1">
      <alignment horizontal="left" vertical="top"/>
    </xf>
    <xf numFmtId="0" fontId="49" fillId="31" borderId="0" xfId="0" applyFont="1" applyFill="1" applyAlignment="1">
      <alignment horizontal="left" wrapText="1"/>
    </xf>
    <xf numFmtId="0" fontId="49" fillId="31" borderId="0" xfId="0" applyFont="1" applyFill="1" applyAlignment="1">
      <alignment horizontal="left"/>
    </xf>
    <xf numFmtId="0" fontId="49" fillId="31" borderId="0" xfId="0" applyFont="1" applyFill="1" applyAlignment="1">
      <alignment horizontal="right"/>
    </xf>
    <xf numFmtId="0" fontId="46" fillId="31" borderId="0" xfId="0" applyFont="1" applyFill="1" applyAlignment="1">
      <alignment horizontal="right"/>
    </xf>
    <xf numFmtId="0" fontId="49" fillId="31" borderId="0" xfId="24" applyFont="1" applyFill="1" applyAlignment="1">
      <alignment horizontal="left" vertical="center"/>
    </xf>
    <xf numFmtId="0" fontId="46" fillId="31" borderId="0" xfId="153" applyNumberFormat="1" applyFont="1" applyFill="1" applyBorder="1" applyAlignment="1">
      <alignment horizontal="right" vertical="center"/>
    </xf>
    <xf numFmtId="0" fontId="49" fillId="31" borderId="0" xfId="24" applyFont="1" applyFill="1" applyAlignment="1">
      <alignment horizontal="left"/>
    </xf>
    <xf numFmtId="0" fontId="49" fillId="31" borderId="12" xfId="0" applyFont="1" applyFill="1" applyBorder="1" applyAlignment="1">
      <alignment horizontal="left" vertical="center" wrapText="1"/>
    </xf>
    <xf numFmtId="0" fontId="49" fillId="31" borderId="12" xfId="0" applyFont="1" applyFill="1" applyBorder="1" applyAlignment="1">
      <alignment horizontal="right" wrapText="1"/>
    </xf>
    <xf numFmtId="0" fontId="46" fillId="31" borderId="12" xfId="0" applyFont="1" applyFill="1" applyBorder="1" applyAlignment="1">
      <alignment horizontal="right" wrapText="1"/>
    </xf>
    <xf numFmtId="0" fontId="44" fillId="30" borderId="0" xfId="0" applyFont="1" applyFill="1"/>
    <xf numFmtId="0" fontId="95" fillId="30" borderId="0" xfId="0" applyFont="1" applyFill="1"/>
    <xf numFmtId="0" fontId="44" fillId="31" borderId="0" xfId="0" applyFont="1" applyFill="1"/>
    <xf numFmtId="0" fontId="43" fillId="31" borderId="0" xfId="0" applyFont="1" applyFill="1"/>
    <xf numFmtId="0" fontId="45" fillId="31" borderId="0" xfId="24" applyFont="1" applyFill="1"/>
    <xf numFmtId="0" fontId="47" fillId="31" borderId="0" xfId="24" applyFont="1" applyFill="1"/>
    <xf numFmtId="167" fontId="90" fillId="31" borderId="0" xfId="3" applyNumberFormat="1" applyFont="1" applyFill="1" applyBorder="1" applyAlignment="1">
      <alignment horizontal="right"/>
    </xf>
    <xf numFmtId="0" fontId="89" fillId="31" borderId="0" xfId="127" applyFont="1" applyFill="1"/>
    <xf numFmtId="167" fontId="92" fillId="31" borderId="0" xfId="3" applyNumberFormat="1" applyFont="1" applyFill="1" applyBorder="1"/>
    <xf numFmtId="0" fontId="49" fillId="31" borderId="0" xfId="0" applyFont="1" applyFill="1"/>
    <xf numFmtId="1" fontId="45" fillId="31" borderId="0" xfId="0" applyNumberFormat="1" applyFont="1" applyFill="1" applyAlignment="1">
      <alignment horizontal="right"/>
    </xf>
    <xf numFmtId="0" fontId="47" fillId="31" borderId="0" xfId="70" applyNumberFormat="1" applyFont="1" applyFill="1" applyBorder="1" applyAlignment="1">
      <alignment horizontal="right"/>
    </xf>
    <xf numFmtId="0" fontId="45" fillId="31" borderId="0" xfId="0" applyFont="1" applyFill="1"/>
    <xf numFmtId="0" fontId="45" fillId="31" borderId="0" xfId="0" applyFont="1" applyFill="1" applyAlignment="1">
      <alignment horizontal="right"/>
    </xf>
    <xf numFmtId="0" fontId="47" fillId="31" borderId="0" xfId="0" applyFont="1" applyFill="1"/>
    <xf numFmtId="0" fontId="47" fillId="31" borderId="0" xfId="0" applyFont="1" applyFill="1" applyAlignment="1">
      <alignment horizontal="right"/>
    </xf>
    <xf numFmtId="9" fontId="90" fillId="31" borderId="0" xfId="3" applyFont="1" applyFill="1" applyBorder="1"/>
    <xf numFmtId="167" fontId="90" fillId="31" borderId="0" xfId="3" applyNumberFormat="1" applyFont="1" applyFill="1" applyBorder="1"/>
    <xf numFmtId="0" fontId="45" fillId="31" borderId="0" xfId="1" quotePrefix="1" applyNumberFormat="1" applyFont="1" applyFill="1" applyBorder="1" applyAlignment="1">
      <alignment horizontal="right"/>
    </xf>
    <xf numFmtId="0" fontId="45" fillId="31" borderId="0" xfId="0" quotePrefix="1" applyFont="1" applyFill="1" applyAlignment="1">
      <alignment horizontal="right"/>
    </xf>
    <xf numFmtId="0" fontId="45" fillId="31" borderId="12" xfId="0" applyFont="1" applyFill="1" applyBorder="1"/>
    <xf numFmtId="0" fontId="45" fillId="31" borderId="12" xfId="0" applyFont="1" applyFill="1" applyBorder="1" applyAlignment="1">
      <alignment horizontal="right"/>
    </xf>
    <xf numFmtId="0" fontId="45" fillId="31" borderId="12" xfId="24" applyFont="1" applyFill="1" applyBorder="1" applyAlignment="1">
      <alignment horizontal="right" wrapText="1"/>
    </xf>
    <xf numFmtId="0" fontId="97" fillId="30" borderId="0" xfId="99" applyFont="1" applyFill="1" applyAlignment="1">
      <alignment vertical="top"/>
    </xf>
    <xf numFmtId="0" fontId="49" fillId="31" borderId="0" xfId="99" applyFont="1" applyFill="1"/>
    <xf numFmtId="0" fontId="49" fillId="31" borderId="0" xfId="99" applyFont="1" applyFill="1" applyAlignment="1">
      <alignment wrapText="1"/>
    </xf>
    <xf numFmtId="0" fontId="49" fillId="31" borderId="0" xfId="99" applyFont="1" applyFill="1" applyAlignment="1">
      <alignment horizontal="left"/>
    </xf>
    <xf numFmtId="3" fontId="49" fillId="31" borderId="0" xfId="99" applyNumberFormat="1" applyFont="1" applyFill="1"/>
    <xf numFmtId="0" fontId="47" fillId="31" borderId="0" xfId="99" applyFont="1" applyFill="1"/>
    <xf numFmtId="0" fontId="0" fillId="31" borderId="0" xfId="0" applyFill="1"/>
    <xf numFmtId="9" fontId="49" fillId="31" borderId="0" xfId="0" applyNumberFormat="1" applyFont="1" applyFill="1"/>
    <xf numFmtId="9" fontId="46" fillId="31" borderId="0" xfId="0" applyNumberFormat="1" applyFont="1" applyFill="1"/>
    <xf numFmtId="0" fontId="74" fillId="31" borderId="0" xfId="0" applyFont="1" applyFill="1" applyAlignment="1">
      <alignment horizontal="left" wrapText="1"/>
    </xf>
    <xf numFmtId="0" fontId="49" fillId="31" borderId="10" xfId="0" applyFont="1" applyFill="1" applyBorder="1" applyAlignment="1">
      <alignment horizontal="left" wrapText="1"/>
    </xf>
    <xf numFmtId="9" fontId="49" fillId="31" borderId="10" xfId="0" applyNumberFormat="1" applyFont="1" applyFill="1" applyBorder="1"/>
    <xf numFmtId="0" fontId="49" fillId="31" borderId="10" xfId="0" applyFont="1" applyFill="1" applyBorder="1"/>
    <xf numFmtId="0" fontId="49" fillId="31" borderId="10" xfId="0" applyFont="1" applyFill="1" applyBorder="1" applyAlignment="1">
      <alignment horizontal="right"/>
    </xf>
    <xf numFmtId="9" fontId="46" fillId="31" borderId="10" xfId="0" applyNumberFormat="1" applyFont="1" applyFill="1" applyBorder="1"/>
    <xf numFmtId="0" fontId="49" fillId="31" borderId="11" xfId="0" applyFont="1" applyFill="1" applyBorder="1" applyAlignment="1">
      <alignment horizontal="left" wrapText="1"/>
    </xf>
    <xf numFmtId="0" fontId="74" fillId="31" borderId="11" xfId="0" applyFont="1" applyFill="1" applyBorder="1" applyAlignment="1">
      <alignment horizontal="left" wrapText="1"/>
    </xf>
    <xf numFmtId="9" fontId="49" fillId="31" borderId="11" xfId="0" applyNumberFormat="1" applyFont="1" applyFill="1" applyBorder="1"/>
    <xf numFmtId="0" fontId="49" fillId="31" borderId="11" xfId="0" applyFont="1" applyFill="1" applyBorder="1"/>
    <xf numFmtId="0" fontId="49" fillId="31" borderId="11" xfId="0" applyFont="1" applyFill="1" applyBorder="1" applyAlignment="1">
      <alignment horizontal="right"/>
    </xf>
    <xf numFmtId="9" fontId="46" fillId="31" borderId="11" xfId="0" applyNumberFormat="1" applyFont="1" applyFill="1" applyBorder="1"/>
    <xf numFmtId="0" fontId="49" fillId="30" borderId="0" xfId="0" applyFont="1" applyFill="1"/>
    <xf numFmtId="0" fontId="78" fillId="30" borderId="0" xfId="0" applyFont="1" applyFill="1"/>
    <xf numFmtId="0" fontId="46" fillId="30" borderId="0" xfId="0" applyFont="1" applyFill="1"/>
    <xf numFmtId="0" fontId="76" fillId="31" borderId="0" xfId="0" applyFont="1" applyFill="1"/>
    <xf numFmtId="0" fontId="75" fillId="31" borderId="0" xfId="0" applyFont="1" applyFill="1"/>
    <xf numFmtId="0" fontId="73" fillId="31" borderId="0" xfId="0" applyFont="1" applyFill="1"/>
    <xf numFmtId="0" fontId="49" fillId="31" borderId="12" xfId="0" applyFont="1" applyFill="1" applyBorder="1"/>
    <xf numFmtId="0" fontId="97" fillId="30" borderId="0" xfId="0" applyFont="1" applyFill="1" applyAlignment="1">
      <alignment vertical="top"/>
    </xf>
    <xf numFmtId="0" fontId="0" fillId="30" borderId="0" xfId="0" applyFill="1"/>
    <xf numFmtId="0" fontId="93" fillId="30" borderId="0" xfId="0" applyFont="1" applyFill="1"/>
    <xf numFmtId="0" fontId="94" fillId="30" borderId="0" xfId="0" applyFont="1" applyFill="1"/>
    <xf numFmtId="168" fontId="91" fillId="31" borderId="0" xfId="1" applyNumberFormat="1" applyFont="1" applyFill="1" applyBorder="1" applyAlignment="1"/>
    <xf numFmtId="168" fontId="89" fillId="31" borderId="0" xfId="1" applyNumberFormat="1" applyFont="1" applyFill="1" applyBorder="1"/>
    <xf numFmtId="168" fontId="89" fillId="31" borderId="0" xfId="1" applyNumberFormat="1" applyFont="1" applyFill="1" applyBorder="1" applyAlignment="1"/>
    <xf numFmtId="168" fontId="91" fillId="31" borderId="0" xfId="1" applyNumberFormat="1" applyFont="1" applyFill="1" applyBorder="1"/>
    <xf numFmtId="0" fontId="49" fillId="31" borderId="12" xfId="0" applyFont="1" applyFill="1" applyBorder="1" applyAlignment="1">
      <alignment horizontal="right" vertical="center" wrapText="1"/>
    </xf>
    <xf numFmtId="0" fontId="45" fillId="31" borderId="12" xfId="0" applyFont="1" applyFill="1" applyBorder="1" applyAlignment="1">
      <alignment horizontal="right" wrapText="1"/>
    </xf>
    <xf numFmtId="0" fontId="45" fillId="31" borderId="12" xfId="101" applyFont="1" applyFill="1" applyBorder="1" applyAlignment="1">
      <alignment horizontal="right" wrapText="1"/>
    </xf>
    <xf numFmtId="0" fontId="0" fillId="13" borderId="0" xfId="0" applyFill="1"/>
    <xf numFmtId="0" fontId="45" fillId="13" borderId="0" xfId="99" applyFont="1" applyFill="1"/>
    <xf numFmtId="0" fontId="104" fillId="0" borderId="0" xfId="62" applyFont="1"/>
    <xf numFmtId="0" fontId="45" fillId="0" borderId="0" xfId="0" applyFont="1"/>
    <xf numFmtId="0" fontId="45" fillId="13" borderId="0" xfId="0" applyFont="1" applyFill="1"/>
    <xf numFmtId="0" fontId="104" fillId="13" borderId="0" xfId="62" applyFont="1" applyFill="1" applyAlignment="1"/>
    <xf numFmtId="0" fontId="45" fillId="31" borderId="0" xfId="101" applyFont="1" applyFill="1" applyAlignment="1">
      <alignment horizontal="left"/>
    </xf>
    <xf numFmtId="0" fontId="45" fillId="31" borderId="0" xfId="0" applyFont="1" applyFill="1" applyAlignment="1">
      <alignment horizontal="left"/>
    </xf>
    <xf numFmtId="0" fontId="49" fillId="30" borderId="0" xfId="99" applyFont="1" applyFill="1"/>
    <xf numFmtId="0" fontId="81" fillId="30" borderId="0" xfId="99" applyFont="1" applyFill="1"/>
    <xf numFmtId="0" fontId="46" fillId="30" borderId="0" xfId="99" applyFont="1" applyFill="1"/>
    <xf numFmtId="0" fontId="49" fillId="30" borderId="0" xfId="99" applyFont="1" applyFill="1" applyAlignment="1">
      <alignment horizontal="left"/>
    </xf>
    <xf numFmtId="0" fontId="95" fillId="30" borderId="0" xfId="99" applyFont="1" applyFill="1"/>
    <xf numFmtId="0" fontId="97" fillId="30" borderId="0" xfId="99" applyFont="1" applyFill="1" applyAlignment="1">
      <alignment horizontal="left"/>
    </xf>
    <xf numFmtId="168" fontId="49" fillId="31" borderId="0" xfId="1" applyNumberFormat="1" applyFont="1" applyFill="1" applyBorder="1" applyAlignment="1">
      <alignment horizontal="right"/>
    </xf>
    <xf numFmtId="167" fontId="49" fillId="31" borderId="0" xfId="3" applyNumberFormat="1" applyFont="1" applyFill="1" applyBorder="1"/>
    <xf numFmtId="168" fontId="49" fillId="31" borderId="0" xfId="1" applyNumberFormat="1" applyFont="1" applyFill="1" applyBorder="1"/>
    <xf numFmtId="172" fontId="49" fillId="31" borderId="0" xfId="99" applyNumberFormat="1" applyFont="1" applyFill="1"/>
    <xf numFmtId="0" fontId="45" fillId="31" borderId="0" xfId="99" applyFont="1" applyFill="1" applyAlignment="1">
      <alignment horizontal="center"/>
    </xf>
    <xf numFmtId="0" fontId="45" fillId="31" borderId="0" xfId="99" applyFont="1" applyFill="1" applyAlignment="1">
      <alignment horizontal="right" wrapText="1"/>
    </xf>
    <xf numFmtId="0" fontId="45" fillId="31" borderId="0" xfId="99" applyFont="1" applyFill="1" applyAlignment="1">
      <alignment horizontal="center" wrapText="1"/>
    </xf>
    <xf numFmtId="0" fontId="45" fillId="31" borderId="0" xfId="99" applyFont="1" applyFill="1"/>
    <xf numFmtId="0" fontId="45" fillId="31" borderId="12" xfId="99" applyFont="1" applyFill="1" applyBorder="1" applyAlignment="1">
      <alignment horizontal="right"/>
    </xf>
    <xf numFmtId="0" fontId="45" fillId="31" borderId="12" xfId="99" applyFont="1" applyFill="1" applyBorder="1" applyAlignment="1">
      <alignment horizontal="right" wrapText="1"/>
    </xf>
    <xf numFmtId="0" fontId="45" fillId="31" borderId="12" xfId="99" applyFont="1" applyFill="1" applyBorder="1"/>
    <xf numFmtId="0" fontId="45" fillId="31" borderId="0" xfId="99" applyFont="1" applyFill="1" applyAlignment="1">
      <alignment horizontal="left"/>
    </xf>
    <xf numFmtId="3" fontId="45" fillId="31" borderId="0" xfId="99" applyNumberFormat="1" applyFont="1" applyFill="1"/>
    <xf numFmtId="167" fontId="45" fillId="31" borderId="0" xfId="3" applyNumberFormat="1" applyFont="1" applyFill="1" applyBorder="1"/>
    <xf numFmtId="177" fontId="45" fillId="31" borderId="0" xfId="99" applyNumberFormat="1" applyFont="1" applyFill="1" applyAlignment="1">
      <alignment horizontal="right"/>
    </xf>
    <xf numFmtId="172" fontId="45" fillId="31" borderId="0" xfId="99" applyNumberFormat="1" applyFont="1" applyFill="1" applyAlignment="1">
      <alignment horizontal="right"/>
    </xf>
    <xf numFmtId="0" fontId="45" fillId="31" borderId="0" xfId="29" applyFont="1" applyFill="1"/>
    <xf numFmtId="172" fontId="45" fillId="31" borderId="0" xfId="29" applyNumberFormat="1" applyFont="1" applyFill="1" applyAlignment="1">
      <alignment horizontal="right"/>
    </xf>
    <xf numFmtId="172" fontId="45" fillId="31" borderId="0" xfId="99" applyNumberFormat="1" applyFont="1" applyFill="1"/>
    <xf numFmtId="0" fontId="49" fillId="13" borderId="0" xfId="99" applyFont="1" applyFill="1" applyAlignment="1">
      <alignment horizontal="left"/>
    </xf>
    <xf numFmtId="0" fontId="86" fillId="13" borderId="0" xfId="77" applyFont="1" applyFill="1" applyBorder="1" applyAlignment="1" applyProtection="1">
      <alignment horizontal="left" vertical="center"/>
    </xf>
    <xf numFmtId="0" fontId="49" fillId="30" borderId="0" xfId="101" applyFont="1" applyFill="1"/>
    <xf numFmtId="0" fontId="96" fillId="30" borderId="0" xfId="101" applyFont="1" applyFill="1" applyAlignment="1">
      <alignment horizontal="left"/>
    </xf>
    <xf numFmtId="0" fontId="49" fillId="31" borderId="0" xfId="101" applyFont="1" applyFill="1"/>
    <xf numFmtId="0" fontId="49" fillId="31" borderId="0" xfId="101" applyFont="1" applyFill="1" applyAlignment="1">
      <alignment horizontal="right"/>
    </xf>
    <xf numFmtId="49" fontId="49" fillId="31" borderId="0" xfId="101" applyNumberFormat="1" applyFont="1" applyFill="1"/>
    <xf numFmtId="3" fontId="49" fillId="31" borderId="0" xfId="101" applyNumberFormat="1" applyFont="1" applyFill="1"/>
    <xf numFmtId="3" fontId="46" fillId="31" borderId="0" xfId="101" applyNumberFormat="1" applyFont="1" applyFill="1" applyAlignment="1">
      <alignment horizontal="right" vertical="center" wrapText="1"/>
    </xf>
    <xf numFmtId="168" fontId="49" fillId="31" borderId="0" xfId="27" applyNumberFormat="1" applyFont="1" applyFill="1" applyBorder="1"/>
    <xf numFmtId="0" fontId="87" fillId="31" borderId="0" xfId="101" applyFont="1" applyFill="1" applyAlignment="1">
      <alignment wrapText="1"/>
    </xf>
    <xf numFmtId="3" fontId="49" fillId="31" borderId="0" xfId="26" applyNumberFormat="1" applyFont="1" applyFill="1"/>
    <xf numFmtId="0" fontId="47" fillId="31" borderId="0" xfId="101" applyFont="1" applyFill="1" applyAlignment="1">
      <alignment horizontal="left"/>
    </xf>
    <xf numFmtId="0" fontId="90" fillId="31" borderId="0" xfId="101" applyFont="1" applyFill="1"/>
    <xf numFmtId="0" fontId="45" fillId="31" borderId="12" xfId="101" applyFont="1" applyFill="1" applyBorder="1" applyAlignment="1">
      <alignment horizontal="left"/>
    </xf>
    <xf numFmtId="3" fontId="45" fillId="31" borderId="12" xfId="101" applyNumberFormat="1" applyFont="1" applyFill="1" applyBorder="1" applyAlignment="1">
      <alignment horizontal="right" wrapText="1"/>
    </xf>
    <xf numFmtId="3" fontId="45" fillId="31" borderId="12" xfId="101" applyNumberFormat="1" applyFont="1" applyFill="1" applyBorder="1" applyAlignment="1">
      <alignment horizontal="center" wrapText="1"/>
    </xf>
    <xf numFmtId="0" fontId="45" fillId="31" borderId="12" xfId="101" applyFont="1" applyFill="1" applyBorder="1" applyAlignment="1">
      <alignment horizontal="right"/>
    </xf>
    <xf numFmtId="0" fontId="45" fillId="31" borderId="0" xfId="101" applyFont="1" applyFill="1" applyAlignment="1">
      <alignment horizontal="center"/>
    </xf>
    <xf numFmtId="0" fontId="45" fillId="31" borderId="0" xfId="101" applyFont="1" applyFill="1" applyAlignment="1">
      <alignment horizontal="center" wrapText="1"/>
    </xf>
    <xf numFmtId="3" fontId="45" fillId="31" borderId="0" xfId="101" applyNumberFormat="1" applyFont="1" applyFill="1" applyAlignment="1">
      <alignment horizontal="right" wrapText="1"/>
    </xf>
    <xf numFmtId="3" fontId="45" fillId="31" borderId="0" xfId="101" applyNumberFormat="1" applyFont="1" applyFill="1" applyAlignment="1">
      <alignment horizontal="center" wrapText="1"/>
    </xf>
    <xf numFmtId="0" fontId="45" fillId="31" borderId="0" xfId="101" applyFont="1" applyFill="1" applyAlignment="1">
      <alignment horizontal="right" wrapText="1"/>
    </xf>
    <xf numFmtId="0" fontId="45" fillId="31" borderId="0" xfId="101" applyFont="1" applyFill="1" applyAlignment="1">
      <alignment horizontal="right"/>
    </xf>
    <xf numFmtId="49" fontId="45" fillId="31" borderId="0" xfId="101" applyNumberFormat="1" applyFont="1" applyFill="1"/>
    <xf numFmtId="3" fontId="45" fillId="31" borderId="0" xfId="101" applyNumberFormat="1" applyFont="1" applyFill="1"/>
    <xf numFmtId="3" fontId="105" fillId="31" borderId="0" xfId="101" applyNumberFormat="1" applyFont="1" applyFill="1" applyAlignment="1">
      <alignment horizontal="left"/>
    </xf>
    <xf numFmtId="167" fontId="45" fillId="31" borderId="0" xfId="101" applyNumberFormat="1" applyFont="1" applyFill="1" applyAlignment="1">
      <alignment horizontal="right"/>
    </xf>
    <xf numFmtId="0" fontId="45" fillId="31" borderId="0" xfId="27" applyNumberFormat="1" applyFont="1" applyFill="1" applyBorder="1" applyAlignment="1">
      <alignment horizontal="left"/>
    </xf>
    <xf numFmtId="0" fontId="45" fillId="31" borderId="0" xfId="101" applyFont="1" applyFill="1"/>
    <xf numFmtId="3" fontId="45" fillId="31" borderId="0" xfId="26" applyNumberFormat="1" applyFont="1" applyFill="1"/>
    <xf numFmtId="41" fontId="85" fillId="31" borderId="0" xfId="99" applyNumberFormat="1" applyFont="1" applyFill="1" applyAlignment="1" applyProtection="1">
      <alignment horizontal="right" vertical="center" wrapText="1" readingOrder="1"/>
      <protection locked="0"/>
    </xf>
    <xf numFmtId="3" fontId="45" fillId="31" borderId="0" xfId="26" applyNumberFormat="1" applyFont="1" applyFill="1" applyAlignment="1">
      <alignment horizontal="right" readingOrder="1"/>
    </xf>
    <xf numFmtId="164" fontId="85" fillId="31" borderId="0" xfId="99" applyNumberFormat="1" applyFont="1" applyFill="1" applyAlignment="1" applyProtection="1">
      <alignment horizontal="right" vertical="center" wrapText="1" readingOrder="1"/>
      <protection locked="0"/>
    </xf>
    <xf numFmtId="3" fontId="106" fillId="31" borderId="0" xfId="101" applyNumberFormat="1" applyFont="1" applyFill="1" applyAlignment="1">
      <alignment horizontal="left"/>
    </xf>
    <xf numFmtId="3" fontId="106" fillId="31" borderId="0" xfId="26" applyNumberFormat="1" applyFont="1" applyFill="1" applyAlignment="1">
      <alignment horizontal="left"/>
    </xf>
    <xf numFmtId="3" fontId="106" fillId="31" borderId="0" xfId="99" applyNumberFormat="1" applyFont="1" applyFill="1" applyAlignment="1" applyProtection="1">
      <alignment horizontal="left" vertical="center"/>
      <protection locked="0"/>
    </xf>
    <xf numFmtId="3" fontId="106" fillId="31" borderId="0" xfId="99" applyNumberFormat="1" applyFont="1" applyFill="1" applyAlignment="1" applyProtection="1">
      <alignment horizontal="left" vertical="center" wrapText="1"/>
      <protection locked="0"/>
    </xf>
    <xf numFmtId="3" fontId="106" fillId="31" borderId="0" xfId="1" applyNumberFormat="1" applyFont="1" applyFill="1" applyBorder="1" applyAlignment="1" applyProtection="1">
      <alignment horizontal="left" vertical="center" wrapText="1" readingOrder="1"/>
      <protection locked="0"/>
    </xf>
    <xf numFmtId="0" fontId="45" fillId="31" borderId="12" xfId="101" applyFont="1" applyFill="1" applyBorder="1" applyAlignment="1">
      <alignment horizontal="center" wrapText="1"/>
    </xf>
    <xf numFmtId="49" fontId="107" fillId="31" borderId="0" xfId="101" applyNumberFormat="1" applyFont="1" applyFill="1" applyAlignment="1">
      <alignment horizontal="right" vertical="center"/>
    </xf>
    <xf numFmtId="3" fontId="49" fillId="31" borderId="0" xfId="103" applyNumberFormat="1" applyFont="1" applyFill="1"/>
    <xf numFmtId="0" fontId="45" fillId="13" borderId="0" xfId="99" applyFont="1" applyFill="1" applyAlignment="1">
      <alignment wrapText="1"/>
    </xf>
    <xf numFmtId="0" fontId="45" fillId="30" borderId="0" xfId="99" applyFont="1" applyFill="1"/>
    <xf numFmtId="0" fontId="45" fillId="30" borderId="0" xfId="99" applyFont="1" applyFill="1" applyAlignment="1">
      <alignment horizontal="right"/>
    </xf>
    <xf numFmtId="0" fontId="47" fillId="30" borderId="0" xfId="99" applyFont="1" applyFill="1"/>
    <xf numFmtId="0" fontId="45" fillId="31" borderId="0" xfId="99" applyFont="1" applyFill="1" applyAlignment="1">
      <alignment wrapText="1"/>
    </xf>
    <xf numFmtId="49" fontId="48" fillId="31" borderId="0" xfId="140" applyNumberFormat="1" applyFont="1" applyFill="1" applyAlignment="1">
      <alignment horizontal="right"/>
    </xf>
    <xf numFmtId="168" fontId="46" fillId="31" borderId="0" xfId="1" applyNumberFormat="1" applyFont="1" applyFill="1" applyBorder="1" applyAlignment="1">
      <alignment horizontal="center"/>
    </xf>
    <xf numFmtId="0" fontId="51" fillId="31" borderId="0" xfId="140" applyFont="1" applyFill="1"/>
    <xf numFmtId="168" fontId="48" fillId="31" borderId="0" xfId="1" applyNumberFormat="1" applyFont="1" applyFill="1" applyBorder="1" applyAlignment="1">
      <alignment horizontal="center"/>
    </xf>
    <xf numFmtId="168" fontId="48" fillId="31" borderId="0" xfId="1" applyNumberFormat="1" applyFont="1" applyFill="1" applyBorder="1" applyAlignment="1" applyProtection="1">
      <alignment horizontal="center" wrapText="1"/>
      <protection locked="0"/>
    </xf>
    <xf numFmtId="0" fontId="48" fillId="31" borderId="0" xfId="140" applyFont="1" applyFill="1" applyAlignment="1">
      <alignment wrapText="1"/>
    </xf>
    <xf numFmtId="0" fontId="48" fillId="31" borderId="0" xfId="140" applyFont="1" applyFill="1" applyAlignment="1">
      <alignment horizontal="right"/>
    </xf>
    <xf numFmtId="167" fontId="48" fillId="31" borderId="0" xfId="3" applyNumberFormat="1" applyFont="1" applyFill="1" applyBorder="1" applyAlignment="1">
      <alignment horizontal="right"/>
    </xf>
    <xf numFmtId="174" fontId="51" fillId="31" borderId="0" xfId="3" applyNumberFormat="1" applyFont="1" applyFill="1" applyBorder="1" applyAlignment="1">
      <alignment horizontal="right"/>
    </xf>
    <xf numFmtId="0" fontId="52" fillId="31" borderId="0" xfId="7" applyFont="1" applyFill="1" applyAlignment="1">
      <alignment vertical="top" wrapText="1"/>
    </xf>
    <xf numFmtId="0" fontId="52" fillId="31" borderId="0" xfId="7" applyFont="1" applyFill="1" applyAlignment="1">
      <alignment horizontal="left" vertical="top" wrapText="1"/>
    </xf>
    <xf numFmtId="167" fontId="49" fillId="31" borderId="0" xfId="3" applyNumberFormat="1" applyFont="1" applyFill="1" applyBorder="1" applyAlignment="1">
      <alignment horizontal="right"/>
    </xf>
    <xf numFmtId="167" fontId="46" fillId="31" borderId="0" xfId="3" applyNumberFormat="1" applyFont="1" applyFill="1" applyBorder="1" applyAlignment="1">
      <alignment horizontal="right"/>
    </xf>
    <xf numFmtId="167" fontId="51" fillId="31" borderId="0" xfId="3" applyNumberFormat="1" applyFont="1" applyFill="1" applyBorder="1" applyAlignment="1">
      <alignment horizontal="right"/>
    </xf>
    <xf numFmtId="0" fontId="49" fillId="31" borderId="0" xfId="7" applyFont="1" applyFill="1" applyAlignment="1">
      <alignment wrapText="1"/>
    </xf>
    <xf numFmtId="0" fontId="49" fillId="31" borderId="0" xfId="7" applyFont="1" applyFill="1" applyAlignment="1">
      <alignment horizontal="right"/>
    </xf>
    <xf numFmtId="0" fontId="50" fillId="31" borderId="12" xfId="57" applyFont="1" applyFill="1" applyBorder="1" applyAlignment="1">
      <alignment horizontal="right" wrapText="1"/>
    </xf>
    <xf numFmtId="0" fontId="47" fillId="31" borderId="12" xfId="7" applyFont="1" applyFill="1" applyBorder="1" applyAlignment="1">
      <alignment horizontal="right" wrapText="1"/>
    </xf>
    <xf numFmtId="0" fontId="53" fillId="0" borderId="0" xfId="99" applyFont="1"/>
    <xf numFmtId="0" fontId="50" fillId="31" borderId="0" xfId="140" applyFont="1" applyFill="1"/>
    <xf numFmtId="49" fontId="110" fillId="31" borderId="0" xfId="140" applyNumberFormat="1" applyFont="1" applyFill="1" applyAlignment="1">
      <alignment horizontal="left"/>
    </xf>
    <xf numFmtId="168" fontId="50" fillId="31" borderId="0" xfId="1" applyNumberFormat="1" applyFont="1" applyFill="1" applyBorder="1" applyAlignment="1">
      <alignment horizontal="center"/>
    </xf>
    <xf numFmtId="168" fontId="50" fillId="31" borderId="0" xfId="1" applyNumberFormat="1" applyFont="1" applyFill="1" applyBorder="1" applyAlignment="1" applyProtection="1">
      <alignment horizontal="center" wrapText="1"/>
      <protection locked="0"/>
    </xf>
    <xf numFmtId="49" fontId="50" fillId="31" borderId="0" xfId="140" applyNumberFormat="1" applyFont="1" applyFill="1" applyAlignment="1">
      <alignment horizontal="right"/>
    </xf>
    <xf numFmtId="49" fontId="110" fillId="31" borderId="0" xfId="140" applyNumberFormat="1" applyFont="1" applyFill="1" applyAlignment="1">
      <alignment horizontal="right"/>
    </xf>
    <xf numFmtId="168" fontId="50" fillId="31" borderId="0" xfId="140" applyNumberFormat="1" applyFont="1" applyFill="1"/>
    <xf numFmtId="168" fontId="50" fillId="31" borderId="0" xfId="267" applyNumberFormat="1" applyFont="1" applyFill="1" applyBorder="1" applyAlignment="1" applyProtection="1">
      <alignment wrapText="1"/>
      <protection locked="0"/>
    </xf>
    <xf numFmtId="168" fontId="50" fillId="31" borderId="0" xfId="70" applyNumberFormat="1" applyFont="1" applyFill="1" applyBorder="1" applyAlignment="1">
      <alignment horizontal="center"/>
    </xf>
    <xf numFmtId="168" fontId="50" fillId="31" borderId="0" xfId="70" applyNumberFormat="1" applyFont="1" applyFill="1" applyBorder="1" applyAlignment="1" applyProtection="1">
      <alignment horizontal="center" wrapText="1"/>
      <protection locked="0"/>
    </xf>
    <xf numFmtId="0" fontId="50" fillId="31" borderId="0" xfId="7" applyFont="1" applyFill="1" applyAlignment="1">
      <alignment wrapText="1"/>
    </xf>
    <xf numFmtId="0" fontId="50" fillId="31" borderId="0" xfId="7" applyFont="1" applyFill="1" applyAlignment="1">
      <alignment horizontal="right"/>
    </xf>
    <xf numFmtId="167" fontId="50" fillId="31" borderId="0" xfId="28" applyNumberFormat="1" applyFont="1" applyFill="1" applyBorder="1" applyAlignment="1">
      <alignment horizontal="right"/>
    </xf>
    <xf numFmtId="0" fontId="50" fillId="31" borderId="0" xfId="140" applyFont="1" applyFill="1" applyAlignment="1">
      <alignment wrapText="1"/>
    </xf>
    <xf numFmtId="0" fontId="50" fillId="31" borderId="0" xfId="140" applyFont="1" applyFill="1" applyAlignment="1">
      <alignment horizontal="right"/>
    </xf>
    <xf numFmtId="168" fontId="102" fillId="31" borderId="0" xfId="1" applyNumberFormat="1" applyFont="1" applyFill="1" applyBorder="1" applyAlignment="1">
      <alignment horizontal="center"/>
    </xf>
    <xf numFmtId="168" fontId="102" fillId="31" borderId="0" xfId="267" applyNumberFormat="1" applyFont="1" applyFill="1" applyBorder="1" applyAlignment="1"/>
    <xf numFmtId="168" fontId="102" fillId="31" borderId="0" xfId="70" applyNumberFormat="1" applyFont="1" applyFill="1" applyBorder="1" applyAlignment="1">
      <alignment horizontal="center"/>
    </xf>
    <xf numFmtId="174" fontId="102" fillId="31" borderId="0" xfId="28" applyNumberFormat="1" applyFont="1" applyFill="1" applyBorder="1" applyAlignment="1">
      <alignment horizontal="right"/>
    </xf>
    <xf numFmtId="0" fontId="102" fillId="31" borderId="0" xfId="140" applyFont="1" applyFill="1"/>
    <xf numFmtId="0" fontId="85" fillId="31" borderId="12" xfId="7" applyFont="1" applyFill="1" applyBorder="1" applyAlignment="1">
      <alignment wrapText="1"/>
    </xf>
    <xf numFmtId="0" fontId="85" fillId="31" borderId="12" xfId="7" applyFont="1" applyFill="1" applyBorder="1" applyAlignment="1">
      <alignment horizontal="right"/>
    </xf>
    <xf numFmtId="0" fontId="45" fillId="31" borderId="12" xfId="7" applyFont="1" applyFill="1" applyBorder="1" applyAlignment="1">
      <alignment horizontal="right" wrapText="1"/>
    </xf>
    <xf numFmtId="0" fontId="88" fillId="31" borderId="0" xfId="140" applyFont="1" applyFill="1"/>
    <xf numFmtId="167" fontId="45" fillId="31" borderId="0" xfId="3" applyNumberFormat="1" applyFont="1" applyFill="1" applyBorder="1" applyAlignment="1">
      <alignment horizontal="right"/>
    </xf>
    <xf numFmtId="167" fontId="50" fillId="31" borderId="0" xfId="3" applyNumberFormat="1" applyFont="1" applyFill="1" applyBorder="1" applyAlignment="1">
      <alignment horizontal="right"/>
    </xf>
    <xf numFmtId="0" fontId="45" fillId="31" borderId="0" xfId="7" applyFont="1" applyFill="1"/>
    <xf numFmtId="0" fontId="45" fillId="31" borderId="0" xfId="99" applyFont="1" applyFill="1" applyAlignment="1">
      <alignment horizontal="right"/>
    </xf>
    <xf numFmtId="167" fontId="47" fillId="31" borderId="0" xfId="3" applyNumberFormat="1" applyFont="1" applyFill="1" applyBorder="1" applyAlignment="1">
      <alignment horizontal="right"/>
    </xf>
    <xf numFmtId="0" fontId="49" fillId="31" borderId="12" xfId="7" applyFont="1" applyFill="1" applyBorder="1" applyAlignment="1">
      <alignment wrapText="1"/>
    </xf>
    <xf numFmtId="0" fontId="49" fillId="31" borderId="12" xfId="7" applyFont="1" applyFill="1" applyBorder="1" applyAlignment="1">
      <alignment horizontal="right"/>
    </xf>
    <xf numFmtId="167" fontId="49" fillId="31" borderId="12" xfId="3" applyNumberFormat="1" applyFont="1" applyFill="1" applyBorder="1" applyAlignment="1">
      <alignment horizontal="right"/>
    </xf>
    <xf numFmtId="0" fontId="47" fillId="31" borderId="12" xfId="99" applyFont="1" applyFill="1" applyBorder="1"/>
    <xf numFmtId="0" fontId="45" fillId="31" borderId="0" xfId="140" applyFont="1" applyFill="1" applyAlignment="1">
      <alignment horizontal="left" vertical="top" wrapText="1"/>
    </xf>
    <xf numFmtId="0" fontId="106" fillId="31" borderId="0" xfId="99" applyFont="1" applyFill="1"/>
    <xf numFmtId="49" fontId="106" fillId="31" borderId="0" xfId="140" applyNumberFormat="1" applyFont="1" applyFill="1" applyAlignment="1">
      <alignment horizontal="right"/>
    </xf>
    <xf numFmtId="167" fontId="106" fillId="31" borderId="0" xfId="3" applyNumberFormat="1" applyFont="1" applyFill="1" applyBorder="1" applyAlignment="1">
      <alignment horizontal="right"/>
    </xf>
    <xf numFmtId="0" fontId="112" fillId="31" borderId="0" xfId="99" applyFont="1" applyFill="1"/>
    <xf numFmtId="0" fontId="50" fillId="31" borderId="12" xfId="7" applyFont="1" applyFill="1" applyBorder="1" applyAlignment="1">
      <alignment wrapText="1"/>
    </xf>
    <xf numFmtId="0" fontId="50" fillId="31" borderId="12" xfId="7" applyFont="1" applyFill="1" applyBorder="1" applyAlignment="1">
      <alignment horizontal="right"/>
    </xf>
    <xf numFmtId="0" fontId="50" fillId="31" borderId="12" xfId="7" applyFont="1" applyFill="1" applyBorder="1" applyAlignment="1">
      <alignment horizontal="right" wrapText="1"/>
    </xf>
    <xf numFmtId="49" fontId="102" fillId="31" borderId="0" xfId="140" applyNumberFormat="1" applyFont="1" applyFill="1" applyAlignment="1">
      <alignment horizontal="right"/>
    </xf>
    <xf numFmtId="0" fontId="50" fillId="31" borderId="12" xfId="140" applyFont="1" applyFill="1" applyBorder="1"/>
    <xf numFmtId="49" fontId="110" fillId="31" borderId="12" xfId="140" applyNumberFormat="1" applyFont="1" applyFill="1" applyBorder="1" applyAlignment="1">
      <alignment horizontal="right"/>
    </xf>
    <xf numFmtId="168" fontId="50" fillId="31" borderId="12" xfId="140" applyNumberFormat="1" applyFont="1" applyFill="1" applyBorder="1"/>
    <xf numFmtId="168" fontId="50" fillId="31" borderId="12" xfId="267" applyNumberFormat="1" applyFont="1" applyFill="1" applyBorder="1" applyAlignment="1" applyProtection="1">
      <alignment wrapText="1"/>
      <protection locked="0"/>
    </xf>
    <xf numFmtId="168" fontId="102" fillId="31" borderId="12" xfId="267" applyNumberFormat="1" applyFont="1" applyFill="1" applyBorder="1" applyAlignment="1"/>
    <xf numFmtId="0" fontId="101" fillId="31" borderId="12" xfId="7" applyFont="1" applyFill="1" applyBorder="1" applyAlignment="1">
      <alignment wrapText="1"/>
    </xf>
    <xf numFmtId="0" fontId="101" fillId="31" borderId="12" xfId="7" applyFont="1" applyFill="1" applyBorder="1" applyAlignment="1">
      <alignment horizontal="right"/>
    </xf>
    <xf numFmtId="167" fontId="101" fillId="31" borderId="12" xfId="3" applyNumberFormat="1" applyFont="1" applyFill="1" applyBorder="1" applyAlignment="1">
      <alignment horizontal="right"/>
    </xf>
    <xf numFmtId="0" fontId="101" fillId="31" borderId="12" xfId="99" applyFont="1" applyFill="1" applyBorder="1"/>
    <xf numFmtId="0" fontId="49" fillId="31" borderId="12" xfId="0" applyFont="1" applyFill="1" applyBorder="1" applyAlignment="1">
      <alignment horizontal="left"/>
    </xf>
    <xf numFmtId="1" fontId="49" fillId="31" borderId="12" xfId="151" applyNumberFormat="1" applyFont="1" applyFill="1" applyBorder="1" applyAlignment="1">
      <alignment horizontal="right"/>
    </xf>
    <xf numFmtId="0" fontId="46" fillId="31" borderId="12" xfId="153" applyNumberFormat="1" applyFont="1" applyFill="1" applyBorder="1" applyAlignment="1">
      <alignment horizontal="right" vertical="center"/>
    </xf>
    <xf numFmtId="0" fontId="101" fillId="0" borderId="0" xfId="0" applyFont="1" applyAlignment="1">
      <alignment horizontal="right"/>
    </xf>
    <xf numFmtId="0" fontId="101" fillId="31" borderId="0" xfId="0" applyFont="1" applyFill="1" applyAlignment="1">
      <alignment horizontal="right"/>
    </xf>
    <xf numFmtId="0" fontId="47" fillId="31" borderId="0" xfId="0" applyFont="1" applyFill="1" applyAlignment="1">
      <alignment horizontal="left"/>
    </xf>
    <xf numFmtId="0" fontId="50" fillId="31" borderId="0" xfId="0" applyFont="1" applyFill="1" applyAlignment="1">
      <alignment horizontal="left" wrapText="1"/>
    </xf>
    <xf numFmtId="0" fontId="102" fillId="31" borderId="0" xfId="0" applyFont="1" applyFill="1" applyAlignment="1">
      <alignment horizontal="left" wrapText="1"/>
    </xf>
    <xf numFmtId="0" fontId="47" fillId="0" borderId="0" xfId="0" applyFont="1" applyAlignment="1">
      <alignment horizontal="left"/>
    </xf>
    <xf numFmtId="0" fontId="106" fillId="31" borderId="0" xfId="0" applyFont="1" applyFill="1" applyAlignment="1">
      <alignment horizontal="right"/>
    </xf>
    <xf numFmtId="0" fontId="50" fillId="31" borderId="0" xfId="0" applyFont="1" applyFill="1"/>
    <xf numFmtId="0" fontId="106" fillId="31" borderId="0" xfId="0" applyFont="1" applyFill="1"/>
    <xf numFmtId="0" fontId="114" fillId="30" borderId="0" xfId="0" applyFont="1" applyFill="1"/>
    <xf numFmtId="0" fontId="96" fillId="30" borderId="0" xfId="0" applyFont="1" applyFill="1"/>
    <xf numFmtId="0" fontId="102" fillId="31" borderId="0" xfId="127" applyFont="1" applyFill="1"/>
    <xf numFmtId="0" fontId="50" fillId="31" borderId="0" xfId="127" applyFont="1" applyFill="1"/>
    <xf numFmtId="0" fontId="50" fillId="31" borderId="0" xfId="24" applyFont="1" applyFill="1"/>
    <xf numFmtId="167" fontId="111" fillId="31" borderId="0" xfId="3" applyNumberFormat="1" applyFont="1" applyFill="1" applyBorder="1" applyAlignment="1">
      <alignment horizontal="left" wrapText="1"/>
    </xf>
    <xf numFmtId="0" fontId="102" fillId="31" borderId="0" xfId="24" applyFont="1" applyFill="1"/>
    <xf numFmtId="1" fontId="47" fillId="31" borderId="0" xfId="0" applyNumberFormat="1" applyFont="1" applyFill="1" applyAlignment="1">
      <alignment horizontal="right"/>
    </xf>
    <xf numFmtId="0" fontId="44" fillId="31" borderId="12" xfId="0" applyFont="1" applyFill="1" applyBorder="1"/>
    <xf numFmtId="0" fontId="44" fillId="31" borderId="0" xfId="24" applyFont="1" applyFill="1"/>
    <xf numFmtId="0" fontId="50" fillId="31" borderId="12" xfId="0" applyFont="1" applyFill="1" applyBorder="1" applyAlignment="1">
      <alignment horizontal="right"/>
    </xf>
    <xf numFmtId="0" fontId="50" fillId="31" borderId="12" xfId="0" applyFont="1" applyFill="1" applyBorder="1" applyAlignment="1">
      <alignment horizontal="right" wrapText="1"/>
    </xf>
    <xf numFmtId="0" fontId="50" fillId="31" borderId="0" xfId="99" applyFont="1" applyFill="1"/>
    <xf numFmtId="0" fontId="50" fillId="31" borderId="0" xfId="101" applyFont="1" applyFill="1" applyAlignment="1">
      <alignment wrapText="1"/>
    </xf>
    <xf numFmtId="0" fontId="94" fillId="30" borderId="0" xfId="0" applyFont="1" applyFill="1" applyAlignment="1">
      <alignment vertical="top"/>
    </xf>
    <xf numFmtId="0" fontId="80" fillId="30" borderId="0" xfId="0" applyFont="1" applyFill="1"/>
    <xf numFmtId="39" fontId="0" fillId="31" borderId="0" xfId="0" applyNumberFormat="1" applyFill="1" applyAlignment="1">
      <alignment wrapText="1"/>
    </xf>
    <xf numFmtId="0" fontId="0" fillId="31" borderId="12" xfId="0" applyFill="1" applyBorder="1"/>
    <xf numFmtId="176" fontId="0" fillId="31" borderId="0" xfId="3" applyNumberFormat="1" applyFont="1" applyFill="1"/>
    <xf numFmtId="0" fontId="102" fillId="31" borderId="0" xfId="0" applyFont="1" applyFill="1"/>
    <xf numFmtId="3" fontId="102" fillId="31" borderId="0" xfId="0" applyNumberFormat="1" applyFont="1" applyFill="1"/>
    <xf numFmtId="176" fontId="102" fillId="31" borderId="0" xfId="3" applyNumberFormat="1" applyFont="1" applyFill="1"/>
    <xf numFmtId="0" fontId="50" fillId="31" borderId="12" xfId="0" applyFont="1" applyFill="1" applyBorder="1"/>
    <xf numFmtId="0" fontId="50" fillId="31" borderId="0" xfId="0" applyFont="1" applyFill="1" applyAlignment="1">
      <alignment wrapText="1"/>
    </xf>
    <xf numFmtId="39" fontId="50" fillId="31" borderId="0" xfId="0" applyNumberFormat="1" applyFont="1" applyFill="1" applyAlignment="1">
      <alignment wrapText="1"/>
    </xf>
    <xf numFmtId="176" fontId="50" fillId="31" borderId="0" xfId="3" applyNumberFormat="1" applyFont="1" applyFill="1"/>
    <xf numFmtId="0" fontId="113" fillId="31" borderId="0" xfId="0" applyFont="1" applyFill="1"/>
    <xf numFmtId="1" fontId="50" fillId="31" borderId="0" xfId="0" applyNumberFormat="1" applyFont="1" applyFill="1"/>
    <xf numFmtId="0" fontId="108" fillId="31" borderId="0" xfId="0" applyFont="1" applyFill="1"/>
    <xf numFmtId="0" fontId="96" fillId="30" borderId="0" xfId="0" applyFont="1" applyFill="1" applyAlignment="1">
      <alignment vertical="top"/>
    </xf>
    <xf numFmtId="9" fontId="0" fillId="0" borderId="0" xfId="3" applyFont="1"/>
    <xf numFmtId="3" fontId="116" fillId="32" borderId="0" xfId="0" applyNumberFormat="1" applyFont="1" applyFill="1"/>
    <xf numFmtId="0" fontId="11" fillId="13" borderId="0" xfId="0" applyFont="1" applyFill="1"/>
    <xf numFmtId="0" fontId="116" fillId="32" borderId="0" xfId="0" applyFont="1" applyFill="1"/>
    <xf numFmtId="168" fontId="0" fillId="13" borderId="0" xfId="0" applyNumberFormat="1" applyFill="1"/>
    <xf numFmtId="3" fontId="0" fillId="13" borderId="0" xfId="0" applyNumberFormat="1" applyFill="1"/>
    <xf numFmtId="0" fontId="118" fillId="32" borderId="0" xfId="21" applyFont="1" applyFill="1" applyAlignment="1">
      <alignment horizontal="left"/>
    </xf>
    <xf numFmtId="0" fontId="45" fillId="31" borderId="0" xfId="101" applyFont="1" applyFill="1" applyAlignment="1">
      <alignment wrapText="1"/>
    </xf>
    <xf numFmtId="0" fontId="45" fillId="31" borderId="0" xfId="101" applyFont="1" applyFill="1" applyAlignment="1">
      <alignment vertical="top" wrapText="1"/>
    </xf>
    <xf numFmtId="0" fontId="89" fillId="31" borderId="0" xfId="0" applyFont="1" applyFill="1"/>
    <xf numFmtId="3" fontId="116" fillId="32" borderId="0" xfId="0" applyNumberFormat="1" applyFont="1" applyFill="1" applyAlignment="1">
      <alignment vertical="top"/>
    </xf>
    <xf numFmtId="3" fontId="50" fillId="31" borderId="0" xfId="0" applyNumberFormat="1" applyFont="1" applyFill="1"/>
    <xf numFmtId="3" fontId="50" fillId="31" borderId="0" xfId="0" applyNumberFormat="1" applyFont="1" applyFill="1" applyAlignment="1">
      <alignment vertical="top"/>
    </xf>
    <xf numFmtId="3" fontId="102" fillId="31" borderId="0" xfId="0" applyNumberFormat="1" applyFont="1" applyFill="1" applyAlignment="1">
      <alignment vertical="top"/>
    </xf>
    <xf numFmtId="0" fontId="47" fillId="31" borderId="12" xfId="0" applyFont="1" applyFill="1" applyBorder="1" applyAlignment="1">
      <alignment horizontal="right" wrapText="1"/>
    </xf>
    <xf numFmtId="3" fontId="50" fillId="33" borderId="12" xfId="0" applyNumberFormat="1" applyFont="1" applyFill="1" applyBorder="1"/>
    <xf numFmtId="0" fontId="96" fillId="31" borderId="0" xfId="0" applyFont="1" applyFill="1" applyAlignment="1">
      <alignment vertical="top"/>
    </xf>
    <xf numFmtId="3" fontId="120" fillId="32" borderId="0" xfId="0" applyNumberFormat="1" applyFont="1" applyFill="1"/>
    <xf numFmtId="0" fontId="106" fillId="31" borderId="0" xfId="0" applyFont="1" applyFill="1" applyAlignment="1">
      <alignment horizontal="left"/>
    </xf>
    <xf numFmtId="0" fontId="106" fillId="0" borderId="0" xfId="0" applyFont="1" applyAlignment="1">
      <alignment horizontal="left"/>
    </xf>
    <xf numFmtId="3" fontId="50" fillId="31" borderId="0" xfId="260" applyNumberFormat="1" applyFont="1" applyFill="1"/>
    <xf numFmtId="167" fontId="45" fillId="31" borderId="0" xfId="115" applyNumberFormat="1" applyFont="1" applyFill="1" applyBorder="1" applyAlignment="1"/>
    <xf numFmtId="0" fontId="45" fillId="31" borderId="0" xfId="260" applyFont="1" applyFill="1"/>
    <xf numFmtId="177" fontId="45" fillId="31" borderId="0" xfId="260" applyNumberFormat="1" applyFont="1" applyFill="1"/>
    <xf numFmtId="0" fontId="45" fillId="31" borderId="0" xfId="0" applyFont="1" applyFill="1" applyAlignment="1">
      <alignment horizontal="left" wrapText="1"/>
    </xf>
    <xf numFmtId="3" fontId="45" fillId="31" borderId="12" xfId="26" applyNumberFormat="1" applyFont="1" applyFill="1" applyBorder="1"/>
    <xf numFmtId="0" fontId="109" fillId="31" borderId="0" xfId="101" applyFont="1" applyFill="1" applyAlignment="1">
      <alignment wrapText="1"/>
    </xf>
    <xf numFmtId="3" fontId="109" fillId="31" borderId="0" xfId="101" applyNumberFormat="1" applyFont="1" applyFill="1" applyAlignment="1">
      <alignment wrapText="1"/>
    </xf>
    <xf numFmtId="0" fontId="53" fillId="31" borderId="0" xfId="101" applyFont="1" applyFill="1"/>
    <xf numFmtId="49" fontId="53" fillId="31" borderId="0" xfId="101" applyNumberFormat="1" applyFont="1" applyFill="1"/>
    <xf numFmtId="0" fontId="53" fillId="31" borderId="0" xfId="101" applyFont="1" applyFill="1" applyAlignment="1">
      <alignment wrapText="1"/>
    </xf>
    <xf numFmtId="3" fontId="45" fillId="31" borderId="0" xfId="101" applyNumberFormat="1" applyFont="1" applyFill="1" applyAlignment="1">
      <alignment wrapText="1"/>
    </xf>
    <xf numFmtId="0" fontId="104" fillId="31" borderId="0" xfId="192" applyFont="1" applyFill="1" applyBorder="1"/>
    <xf numFmtId="0" fontId="50" fillId="31" borderId="0" xfId="101" applyFont="1" applyFill="1"/>
    <xf numFmtId="49" fontId="50" fillId="31" borderId="0" xfId="101" applyNumberFormat="1" applyFont="1" applyFill="1"/>
    <xf numFmtId="0" fontId="50" fillId="31" borderId="0" xfId="101" applyFont="1" applyFill="1" applyAlignment="1">
      <alignment vertical="top"/>
    </xf>
    <xf numFmtId="167" fontId="49" fillId="0" borderId="0" xfId="3" applyNumberFormat="1" applyFont="1" applyFill="1" applyBorder="1" applyAlignment="1">
      <alignment horizontal="left"/>
    </xf>
    <xf numFmtId="168" fontId="50" fillId="31" borderId="0" xfId="1" applyNumberFormat="1" applyFont="1" applyFill="1"/>
    <xf numFmtId="3" fontId="50" fillId="31" borderId="0" xfId="277" applyNumberFormat="1" applyFont="1" applyFill="1"/>
    <xf numFmtId="20" fontId="45" fillId="31" borderId="0" xfId="99" applyNumberFormat="1" applyFont="1" applyFill="1" applyAlignment="1">
      <alignment horizontal="left"/>
    </xf>
    <xf numFmtId="175" fontId="85" fillId="31" borderId="0" xfId="275" applyFont="1" applyFill="1"/>
    <xf numFmtId="16" fontId="45" fillId="31" borderId="0" xfId="99" applyNumberFormat="1" applyFont="1" applyFill="1"/>
    <xf numFmtId="0" fontId="86" fillId="31" borderId="0" xfId="77" applyFont="1" applyFill="1" applyBorder="1" applyAlignment="1" applyProtection="1">
      <alignment vertical="center"/>
    </xf>
    <xf numFmtId="0" fontId="49" fillId="31" borderId="12" xfId="99" applyFont="1" applyFill="1" applyBorder="1" applyAlignment="1">
      <alignment horizontal="left"/>
    </xf>
    <xf numFmtId="0" fontId="49" fillId="31" borderId="12" xfId="99" applyFont="1" applyFill="1" applyBorder="1"/>
    <xf numFmtId="3" fontId="49" fillId="31" borderId="12" xfId="99" applyNumberFormat="1" applyFont="1" applyFill="1" applyBorder="1"/>
    <xf numFmtId="168" fontId="49" fillId="31" borderId="12" xfId="1" applyNumberFormat="1" applyFont="1" applyFill="1" applyBorder="1"/>
    <xf numFmtId="168" fontId="49" fillId="31" borderId="12" xfId="1" applyNumberFormat="1" applyFont="1" applyFill="1" applyBorder="1" applyAlignment="1">
      <alignment horizontal="right"/>
    </xf>
    <xf numFmtId="167" fontId="49" fillId="31" borderId="12" xfId="3" applyNumberFormat="1" applyFont="1" applyFill="1" applyBorder="1"/>
    <xf numFmtId="172" fontId="49" fillId="31" borderId="12" xfId="99" applyNumberFormat="1" applyFont="1" applyFill="1" applyBorder="1"/>
    <xf numFmtId="0" fontId="123" fillId="31" borderId="0" xfId="101" applyFont="1" applyFill="1"/>
    <xf numFmtId="0" fontId="124" fillId="31" borderId="0" xfId="62" applyFont="1" applyFill="1"/>
    <xf numFmtId="0" fontId="125" fillId="31" borderId="0" xfId="101" applyFont="1" applyFill="1"/>
    <xf numFmtId="49" fontId="125" fillId="31" borderId="0" xfId="101" applyNumberFormat="1" applyFont="1" applyFill="1"/>
    <xf numFmtId="0" fontId="125" fillId="31" borderId="0" xfId="101" applyFont="1" applyFill="1" applyAlignment="1">
      <alignment wrapText="1"/>
    </xf>
    <xf numFmtId="3" fontId="125" fillId="31" borderId="0" xfId="101" applyNumberFormat="1" applyFont="1" applyFill="1" applyAlignment="1">
      <alignment wrapText="1"/>
    </xf>
    <xf numFmtId="0" fontId="126" fillId="31" borderId="0" xfId="101" applyFont="1" applyFill="1" applyAlignment="1">
      <alignment wrapText="1"/>
    </xf>
    <xf numFmtId="0" fontId="123" fillId="13" borderId="0" xfId="101" applyFont="1" applyFill="1"/>
    <xf numFmtId="0" fontId="124" fillId="31" borderId="0" xfId="192" applyFont="1" applyFill="1" applyBorder="1"/>
    <xf numFmtId="9" fontId="127" fillId="31" borderId="0" xfId="3" applyFont="1" applyFill="1" applyBorder="1"/>
    <xf numFmtId="0" fontId="127" fillId="31" borderId="0" xfId="101" applyFont="1" applyFill="1"/>
    <xf numFmtId="49" fontId="127" fillId="31" borderId="0" xfId="101" applyNumberFormat="1" applyFont="1" applyFill="1"/>
    <xf numFmtId="0" fontId="123" fillId="31" borderId="0" xfId="0" applyFont="1" applyFill="1"/>
    <xf numFmtId="0" fontId="123" fillId="0" borderId="0" xfId="0" applyFont="1"/>
    <xf numFmtId="0" fontId="130" fillId="31" borderId="0" xfId="62" applyFont="1" applyFill="1"/>
    <xf numFmtId="0" fontId="125" fillId="31" borderId="0" xfId="99" applyFont="1" applyFill="1"/>
    <xf numFmtId="0" fontId="125" fillId="0" borderId="0" xfId="99" applyFont="1"/>
    <xf numFmtId="0" fontId="123" fillId="0" borderId="0" xfId="140" applyFont="1" applyAlignment="1">
      <alignment wrapText="1"/>
    </xf>
    <xf numFmtId="0" fontId="125" fillId="31" borderId="0" xfId="0" applyFont="1" applyFill="1"/>
    <xf numFmtId="0" fontId="126" fillId="0" borderId="0" xfId="0" applyFont="1"/>
    <xf numFmtId="0" fontId="129" fillId="31" borderId="0" xfId="0" applyFont="1" applyFill="1"/>
    <xf numFmtId="0" fontId="128" fillId="31" borderId="0" xfId="62" applyFont="1" applyFill="1"/>
    <xf numFmtId="1" fontId="125" fillId="31" borderId="0" xfId="0" applyNumberFormat="1" applyFont="1" applyFill="1"/>
    <xf numFmtId="0" fontId="129" fillId="0" borderId="0" xfId="0" applyFont="1"/>
    <xf numFmtId="0" fontId="129" fillId="13" borderId="0" xfId="0" applyFont="1" applyFill="1"/>
    <xf numFmtId="0" fontId="131" fillId="31" borderId="0" xfId="0" applyFont="1" applyFill="1"/>
    <xf numFmtId="0" fontId="131" fillId="0" borderId="0" xfId="0" applyFont="1"/>
    <xf numFmtId="0" fontId="131" fillId="13" borderId="0" xfId="0" applyFont="1" applyFill="1"/>
    <xf numFmtId="1" fontId="106" fillId="31" borderId="0" xfId="27" applyNumberFormat="1" applyFont="1" applyFill="1" applyBorder="1" applyAlignment="1" applyProtection="1">
      <alignment horizontal="center" vertical="center" wrapText="1" readingOrder="1"/>
      <protection locked="0"/>
    </xf>
    <xf numFmtId="164" fontId="50" fillId="31" borderId="0" xfId="99" applyNumberFormat="1" applyFont="1" applyFill="1" applyAlignment="1" applyProtection="1">
      <alignment horizontal="right" vertical="center" wrapText="1" readingOrder="1"/>
      <protection locked="0"/>
    </xf>
    <xf numFmtId="167" fontId="50" fillId="31" borderId="0" xfId="101" applyNumberFormat="1" applyFont="1" applyFill="1" applyAlignment="1">
      <alignment horizontal="right"/>
    </xf>
    <xf numFmtId="3" fontId="50" fillId="31" borderId="0" xfId="26" applyNumberFormat="1" applyFont="1" applyFill="1" applyAlignment="1">
      <alignment horizontal="right" readingOrder="1"/>
    </xf>
    <xf numFmtId="3" fontId="50" fillId="31" borderId="0" xfId="26" applyNumberFormat="1" applyFont="1" applyFill="1"/>
    <xf numFmtId="0" fontId="50" fillId="31" borderId="0" xfId="103" applyFont="1" applyFill="1"/>
    <xf numFmtId="3" fontId="50" fillId="31" borderId="0" xfId="103" applyNumberFormat="1" applyFont="1" applyFill="1"/>
    <xf numFmtId="173" fontId="50" fillId="31" borderId="0" xfId="1" applyNumberFormat="1" applyFont="1" applyFill="1" applyBorder="1" applyAlignment="1" applyProtection="1">
      <alignment horizontal="center" vertical="center" wrapText="1" readingOrder="1"/>
      <protection locked="0"/>
    </xf>
    <xf numFmtId="0" fontId="50" fillId="31" borderId="12" xfId="101" applyFont="1" applyFill="1" applyBorder="1"/>
    <xf numFmtId="164" fontId="50" fillId="31" borderId="12" xfId="99" applyNumberFormat="1" applyFont="1" applyFill="1" applyBorder="1" applyAlignment="1" applyProtection="1">
      <alignment horizontal="right" vertical="center" wrapText="1" readingOrder="1"/>
      <protection locked="0"/>
    </xf>
    <xf numFmtId="173" fontId="50" fillId="31" borderId="12" xfId="1" applyNumberFormat="1" applyFont="1" applyFill="1" applyBorder="1" applyAlignment="1" applyProtection="1">
      <alignment horizontal="center" vertical="center" wrapText="1" readingOrder="1"/>
      <protection locked="0"/>
    </xf>
    <xf numFmtId="167" fontId="50" fillId="31" borderId="12" xfId="101" applyNumberFormat="1" applyFont="1" applyFill="1" applyBorder="1" applyAlignment="1">
      <alignment horizontal="right"/>
    </xf>
    <xf numFmtId="3" fontId="50" fillId="31" borderId="12" xfId="26" applyNumberFormat="1" applyFont="1" applyFill="1" applyBorder="1" applyAlignment="1">
      <alignment horizontal="right" readingOrder="1"/>
    </xf>
    <xf numFmtId="3" fontId="50" fillId="31" borderId="12" xfId="26" applyNumberFormat="1" applyFont="1" applyFill="1" applyBorder="1"/>
    <xf numFmtId="0" fontId="102" fillId="31" borderId="12" xfId="7" applyFont="1" applyFill="1" applyBorder="1" applyAlignment="1">
      <alignment horizontal="right" wrapText="1"/>
    </xf>
    <xf numFmtId="0" fontId="97" fillId="31" borderId="0" xfId="0" applyFont="1" applyFill="1" applyAlignment="1">
      <alignment vertical="top"/>
    </xf>
    <xf numFmtId="3" fontId="50" fillId="33" borderId="0" xfId="0" applyNumberFormat="1" applyFont="1" applyFill="1"/>
    <xf numFmtId="0" fontId="49" fillId="13" borderId="0" xfId="260" applyFont="1" applyFill="1" applyAlignment="1">
      <alignment horizontal="left"/>
    </xf>
    <xf numFmtId="3" fontId="50" fillId="13" borderId="0" xfId="260" applyNumberFormat="1" applyFont="1" applyFill="1"/>
    <xf numFmtId="3" fontId="116" fillId="34" borderId="0" xfId="0" applyNumberFormat="1" applyFont="1" applyFill="1"/>
    <xf numFmtId="0" fontId="31" fillId="31" borderId="0" xfId="62" applyFont="1" applyFill="1"/>
    <xf numFmtId="0" fontId="82" fillId="31" borderId="0" xfId="140" applyFont="1" applyFill="1"/>
    <xf numFmtId="0" fontId="50" fillId="31" borderId="12" xfId="24" applyFont="1" applyFill="1" applyBorder="1" applyAlignment="1">
      <alignment horizontal="right" wrapText="1"/>
    </xf>
    <xf numFmtId="0" fontId="85" fillId="31" borderId="0" xfId="7" applyFont="1" applyFill="1" applyAlignment="1">
      <alignment wrapText="1"/>
    </xf>
    <xf numFmtId="0" fontId="85" fillId="31" borderId="0" xfId="7" applyFont="1" applyFill="1" applyAlignment="1">
      <alignment horizontal="right"/>
    </xf>
    <xf numFmtId="0" fontId="45" fillId="31" borderId="0" xfId="7" applyFont="1" applyFill="1" applyAlignment="1">
      <alignment horizontal="right" wrapText="1"/>
    </xf>
    <xf numFmtId="0" fontId="50" fillId="31" borderId="0" xfId="57" applyFont="1" applyFill="1" applyAlignment="1">
      <alignment horizontal="right" wrapText="1"/>
    </xf>
    <xf numFmtId="0" fontId="47" fillId="31" borderId="0" xfId="7" applyFont="1" applyFill="1" applyAlignment="1">
      <alignment horizontal="right" wrapText="1"/>
    </xf>
    <xf numFmtId="178" fontId="102" fillId="31" borderId="0" xfId="28" applyNumberFormat="1" applyFont="1" applyFill="1" applyBorder="1" applyAlignment="1">
      <alignment horizontal="right"/>
    </xf>
    <xf numFmtId="174" fontId="45" fillId="35" borderId="0" xfId="101" applyNumberFormat="1" applyFont="1" applyFill="1" applyAlignment="1">
      <alignment horizontal="right"/>
    </xf>
    <xf numFmtId="3" fontId="45" fillId="35" borderId="0" xfId="103" applyNumberFormat="1" applyFont="1" applyFill="1"/>
    <xf numFmtId="0" fontId="89" fillId="35" borderId="0" xfId="103" applyFont="1" applyFill="1"/>
    <xf numFmtId="3" fontId="89" fillId="35" borderId="0" xfId="103" applyNumberFormat="1" applyFont="1" applyFill="1"/>
    <xf numFmtId="0" fontId="33" fillId="0" borderId="0" xfId="62"/>
    <xf numFmtId="0" fontId="2" fillId="30" borderId="0" xfId="278" applyFill="1"/>
    <xf numFmtId="0" fontId="2" fillId="0" borderId="0" xfId="278"/>
    <xf numFmtId="0" fontId="94" fillId="30" borderId="0" xfId="278" applyFont="1" applyFill="1"/>
    <xf numFmtId="0" fontId="96" fillId="30" borderId="0" xfId="278" applyFont="1" applyFill="1"/>
    <xf numFmtId="0" fontId="2" fillId="31" borderId="0" xfId="278" applyFill="1"/>
    <xf numFmtId="0" fontId="50" fillId="31" borderId="0" xfId="278" applyFont="1" applyFill="1"/>
    <xf numFmtId="0" fontId="50" fillId="31" borderId="0" xfId="278" applyFont="1" applyFill="1" applyAlignment="1">
      <alignment horizontal="right"/>
    </xf>
    <xf numFmtId="0" fontId="50" fillId="31" borderId="12" xfId="278" applyFont="1" applyFill="1" applyBorder="1"/>
    <xf numFmtId="0" fontId="50" fillId="31" borderId="12" xfId="278" applyFont="1" applyFill="1" applyBorder="1" applyAlignment="1">
      <alignment horizontal="right"/>
    </xf>
    <xf numFmtId="0" fontId="50" fillId="31" borderId="12" xfId="278" applyFont="1" applyFill="1" applyBorder="1" applyAlignment="1">
      <alignment horizontal="right" wrapText="1"/>
    </xf>
    <xf numFmtId="3" fontId="50" fillId="31" borderId="12" xfId="278" applyNumberFormat="1" applyFont="1" applyFill="1" applyBorder="1" applyAlignment="1">
      <alignment horizontal="right"/>
    </xf>
    <xf numFmtId="3" fontId="50" fillId="31" borderId="0" xfId="278" applyNumberFormat="1" applyFont="1" applyFill="1" applyAlignment="1">
      <alignment horizontal="right"/>
    </xf>
    <xf numFmtId="1" fontId="50" fillId="31" borderId="0" xfId="278" applyNumberFormat="1" applyFont="1" applyFill="1" applyAlignment="1">
      <alignment horizontal="right"/>
    </xf>
    <xf numFmtId="179" fontId="50" fillId="31" borderId="0" xfId="278" applyNumberFormat="1" applyFont="1" applyFill="1"/>
    <xf numFmtId="180" fontId="50" fillId="31" borderId="0" xfId="278" applyNumberFormat="1" applyFont="1" applyFill="1"/>
    <xf numFmtId="0" fontId="102" fillId="31" borderId="0" xfId="278" applyFont="1" applyFill="1"/>
    <xf numFmtId="3" fontId="102" fillId="31" borderId="0" xfId="278" applyNumberFormat="1" applyFont="1" applyFill="1" applyAlignment="1">
      <alignment horizontal="right"/>
    </xf>
    <xf numFmtId="1" fontId="102" fillId="31" borderId="0" xfId="278" applyNumberFormat="1" applyFont="1" applyFill="1" applyAlignment="1">
      <alignment horizontal="right"/>
    </xf>
    <xf numFmtId="0" fontId="102" fillId="31" borderId="0" xfId="278" applyFont="1" applyFill="1" applyAlignment="1">
      <alignment horizontal="right"/>
    </xf>
    <xf numFmtId="179" fontId="102" fillId="31" borderId="0" xfId="278" applyNumberFormat="1" applyFont="1" applyFill="1"/>
    <xf numFmtId="180" fontId="102" fillId="31" borderId="0" xfId="278" applyNumberFormat="1" applyFont="1" applyFill="1"/>
    <xf numFmtId="3" fontId="111" fillId="31" borderId="0" xfId="278" applyNumberFormat="1" applyFont="1" applyFill="1" applyAlignment="1">
      <alignment horizontal="right"/>
    </xf>
    <xf numFmtId="179" fontId="50" fillId="31" borderId="0" xfId="278" applyNumberFormat="1" applyFont="1" applyFill="1" applyAlignment="1">
      <alignment horizontal="right"/>
    </xf>
    <xf numFmtId="180" fontId="50" fillId="31" borderId="0" xfId="278" applyNumberFormat="1" applyFont="1" applyFill="1" applyAlignment="1">
      <alignment horizontal="right"/>
    </xf>
    <xf numFmtId="0" fontId="134" fillId="0" borderId="0" xfId="278" applyFont="1"/>
    <xf numFmtId="0" fontId="133" fillId="31" borderId="0" xfId="278" applyFont="1" applyFill="1"/>
    <xf numFmtId="0" fontId="102" fillId="31" borderId="0" xfId="278" applyFont="1" applyFill="1" applyAlignment="1">
      <alignment horizontal="left"/>
    </xf>
    <xf numFmtId="179" fontId="102" fillId="31" borderId="0" xfId="278" applyNumberFormat="1" applyFont="1" applyFill="1" applyAlignment="1">
      <alignment horizontal="right"/>
    </xf>
    <xf numFmtId="180" fontId="102" fillId="31" borderId="0" xfId="278" applyNumberFormat="1" applyFont="1" applyFill="1" applyAlignment="1">
      <alignment horizontal="right"/>
    </xf>
    <xf numFmtId="0" fontId="2" fillId="31" borderId="12" xfId="278" applyFill="1" applyBorder="1"/>
    <xf numFmtId="3" fontId="2" fillId="31" borderId="12" xfId="278" applyNumberFormat="1" applyFill="1" applyBorder="1"/>
    <xf numFmtId="0" fontId="101" fillId="31" borderId="0" xfId="278" applyFont="1" applyFill="1"/>
    <xf numFmtId="0" fontId="101" fillId="31" borderId="0" xfId="279" applyFont="1" applyFill="1"/>
    <xf numFmtId="0" fontId="45" fillId="30" borderId="0" xfId="101" applyFont="1" applyFill="1"/>
    <xf numFmtId="0" fontId="45" fillId="30" borderId="0" xfId="101" applyFont="1" applyFill="1" applyAlignment="1">
      <alignment horizontal="right"/>
    </xf>
    <xf numFmtId="0" fontId="45" fillId="0" borderId="0" xfId="101" applyFont="1"/>
    <xf numFmtId="0" fontId="73" fillId="30" borderId="0" xfId="101" applyFont="1" applyFill="1" applyAlignment="1">
      <alignment horizontal="right"/>
    </xf>
    <xf numFmtId="0" fontId="73" fillId="30" borderId="0" xfId="101" applyFont="1" applyFill="1"/>
    <xf numFmtId="0" fontId="45" fillId="0" borderId="0" xfId="101" applyFont="1" applyAlignment="1">
      <alignment horizontal="right"/>
    </xf>
    <xf numFmtId="0" fontId="47" fillId="0" borderId="0" xfId="101" applyFont="1"/>
    <xf numFmtId="0" fontId="82" fillId="31" borderId="12" xfId="7" applyFont="1" applyFill="1" applyBorder="1" applyAlignment="1">
      <alignment wrapText="1"/>
    </xf>
    <xf numFmtId="0" fontId="82" fillId="31" borderId="12" xfId="7" applyFont="1" applyFill="1" applyBorder="1" applyAlignment="1">
      <alignment horizontal="right"/>
    </xf>
    <xf numFmtId="0" fontId="82" fillId="31" borderId="12" xfId="7" applyFont="1" applyFill="1" applyBorder="1" applyAlignment="1">
      <alignment horizontal="right" wrapText="1"/>
    </xf>
    <xf numFmtId="0" fontId="82" fillId="31" borderId="12" xfId="57" applyFont="1" applyFill="1" applyBorder="1" applyAlignment="1">
      <alignment horizontal="right" wrapText="1"/>
    </xf>
    <xf numFmtId="0" fontId="138" fillId="31" borderId="12" xfId="7" applyFont="1" applyFill="1" applyBorder="1" applyAlignment="1">
      <alignment horizontal="right" wrapText="1"/>
    </xf>
    <xf numFmtId="0" fontId="48" fillId="0" borderId="0" xfId="7" applyFont="1" applyAlignment="1">
      <alignment horizontal="right"/>
    </xf>
    <xf numFmtId="0" fontId="49" fillId="0" borderId="0" xfId="7" applyFont="1" applyAlignment="1">
      <alignment horizontal="right" wrapText="1"/>
    </xf>
    <xf numFmtId="0" fontId="46" fillId="0" borderId="0" xfId="7" applyFont="1" applyAlignment="1">
      <alignment horizontal="right" wrapText="1"/>
    </xf>
    <xf numFmtId="0" fontId="45" fillId="0" borderId="0" xfId="101" applyFont="1" applyAlignment="1">
      <alignment wrapText="1"/>
    </xf>
    <xf numFmtId="0" fontId="82" fillId="31" borderId="0" xfId="7" applyFont="1" applyFill="1" applyAlignment="1">
      <alignment wrapText="1"/>
    </xf>
    <xf numFmtId="0" fontId="82" fillId="31" borderId="0" xfId="7" applyFont="1" applyFill="1" applyAlignment="1">
      <alignment horizontal="right"/>
    </xf>
    <xf numFmtId="0" fontId="82" fillId="31" borderId="0" xfId="7" applyFont="1" applyFill="1" applyAlignment="1">
      <alignment horizontal="right" wrapText="1"/>
    </xf>
    <xf numFmtId="0" fontId="82" fillId="31" borderId="0" xfId="57" applyFont="1" applyFill="1" applyAlignment="1">
      <alignment horizontal="right" wrapText="1"/>
    </xf>
    <xf numFmtId="0" fontId="138" fillId="31" borderId="0" xfId="7" applyFont="1" applyFill="1" applyAlignment="1">
      <alignment horizontal="right" wrapText="1"/>
    </xf>
    <xf numFmtId="0" fontId="138" fillId="31" borderId="0" xfId="140" applyFont="1" applyFill="1"/>
    <xf numFmtId="49" fontId="82" fillId="31" borderId="0" xfId="140" applyNumberFormat="1" applyFont="1" applyFill="1" applyAlignment="1">
      <alignment horizontal="right"/>
    </xf>
    <xf numFmtId="168" fontId="82" fillId="31" borderId="0" xfId="70" applyNumberFormat="1" applyFont="1" applyFill="1" applyBorder="1" applyAlignment="1">
      <alignment horizontal="center"/>
    </xf>
    <xf numFmtId="168" fontId="138" fillId="31" borderId="0" xfId="70" applyNumberFormat="1" applyFont="1" applyFill="1" applyBorder="1" applyAlignment="1">
      <alignment horizontal="center"/>
    </xf>
    <xf numFmtId="3" fontId="46" fillId="31" borderId="0" xfId="7" applyNumberFormat="1" applyFont="1" applyFill="1" applyAlignment="1">
      <alignment horizontal="right" vertical="center"/>
    </xf>
    <xf numFmtId="0" fontId="51" fillId="0" borderId="0" xfId="140" applyFont="1" applyAlignment="1">
      <alignment horizontal="center" wrapText="1"/>
    </xf>
    <xf numFmtId="0" fontId="48" fillId="0" borderId="0" xfId="140" applyFont="1"/>
    <xf numFmtId="167" fontId="49" fillId="0" borderId="0" xfId="28" applyNumberFormat="1" applyFont="1" applyFill="1" applyBorder="1" applyAlignment="1">
      <alignment horizontal="center"/>
    </xf>
    <xf numFmtId="168" fontId="82" fillId="31" borderId="0" xfId="70" applyNumberFormat="1" applyFont="1" applyFill="1" applyBorder="1" applyAlignment="1" applyProtection="1">
      <alignment horizontal="center" wrapText="1"/>
      <protection locked="0"/>
    </xf>
    <xf numFmtId="0" fontId="48" fillId="0" borderId="0" xfId="140" applyFont="1" applyAlignment="1">
      <alignment horizontal="right"/>
    </xf>
    <xf numFmtId="49" fontId="139" fillId="31" borderId="0" xfId="140" applyNumberFormat="1" applyFont="1" applyFill="1" applyAlignment="1">
      <alignment horizontal="right"/>
    </xf>
    <xf numFmtId="168" fontId="82" fillId="31" borderId="0" xfId="140" applyNumberFormat="1" applyFont="1" applyFill="1"/>
    <xf numFmtId="168" fontId="82" fillId="31" borderId="0" xfId="267" applyNumberFormat="1" applyFont="1" applyFill="1" applyBorder="1" applyAlignment="1" applyProtection="1">
      <alignment wrapText="1"/>
      <protection locked="0"/>
    </xf>
    <xf numFmtId="166" fontId="45" fillId="31" borderId="0" xfId="101" applyNumberFormat="1" applyFont="1" applyFill="1"/>
    <xf numFmtId="9" fontId="48" fillId="0" borderId="0" xfId="28" applyFont="1" applyFill="1" applyBorder="1" applyAlignment="1">
      <alignment horizontal="right"/>
    </xf>
    <xf numFmtId="3" fontId="88" fillId="0" borderId="0" xfId="70" applyNumberFormat="1" applyFont="1" applyFill="1" applyBorder="1" applyAlignment="1"/>
    <xf numFmtId="167" fontId="48" fillId="0" borderId="0" xfId="28" applyNumberFormat="1" applyFont="1" applyFill="1" applyBorder="1" applyAlignment="1">
      <alignment horizontal="right"/>
    </xf>
    <xf numFmtId="168" fontId="48" fillId="31" borderId="0" xfId="281" applyNumberFormat="1" applyFont="1" applyFill="1"/>
    <xf numFmtId="168" fontId="48" fillId="31" borderId="0" xfId="267" applyNumberFormat="1" applyFont="1" applyFill="1" applyBorder="1" applyAlignment="1" applyProtection="1">
      <alignment wrapText="1"/>
      <protection locked="0"/>
    </xf>
    <xf numFmtId="168" fontId="138" fillId="31" borderId="0" xfId="267" applyNumberFormat="1" applyFont="1" applyFill="1" applyBorder="1" applyAlignment="1"/>
    <xf numFmtId="167" fontId="82" fillId="31" borderId="0" xfId="28" applyNumberFormat="1" applyFont="1" applyFill="1" applyBorder="1" applyAlignment="1">
      <alignment horizontal="right"/>
    </xf>
    <xf numFmtId="167" fontId="138" fillId="31" borderId="0" xfId="28" applyNumberFormat="1" applyFont="1" applyFill="1" applyBorder="1" applyAlignment="1">
      <alignment horizontal="right"/>
    </xf>
    <xf numFmtId="9" fontId="49" fillId="0" borderId="0" xfId="282" applyFont="1" applyFill="1" applyBorder="1" applyAlignment="1">
      <alignment horizontal="right"/>
    </xf>
    <xf numFmtId="9" fontId="49" fillId="0" borderId="0" xfId="28" applyFont="1" applyFill="1" applyBorder="1" applyAlignment="1">
      <alignment horizontal="right"/>
    </xf>
    <xf numFmtId="0" fontId="82" fillId="31" borderId="0" xfId="140" applyFont="1" applyFill="1" applyAlignment="1">
      <alignment wrapText="1"/>
    </xf>
    <xf numFmtId="0" fontId="82" fillId="31" borderId="0" xfId="140" applyFont="1" applyFill="1" applyAlignment="1">
      <alignment horizontal="right"/>
    </xf>
    <xf numFmtId="9" fontId="45" fillId="31" borderId="0" xfId="28" applyFont="1" applyFill="1" applyBorder="1"/>
    <xf numFmtId="168" fontId="48" fillId="0" borderId="0" xfId="70" applyNumberFormat="1" applyFont="1" applyFill="1" applyBorder="1" applyAlignment="1">
      <alignment horizontal="center"/>
    </xf>
    <xf numFmtId="167" fontId="45" fillId="0" borderId="0" xfId="28" applyNumberFormat="1" applyFont="1" applyFill="1" applyBorder="1" applyAlignment="1"/>
    <xf numFmtId="168" fontId="46" fillId="0" borderId="0" xfId="70" applyNumberFormat="1" applyFont="1" applyFill="1" applyBorder="1" applyAlignment="1">
      <alignment horizontal="center"/>
    </xf>
    <xf numFmtId="168" fontId="48" fillId="0" borderId="0" xfId="70" applyNumberFormat="1" applyFont="1" applyFill="1" applyBorder="1" applyAlignment="1" applyProtection="1">
      <alignment horizontal="center" wrapText="1"/>
      <protection locked="0"/>
    </xf>
    <xf numFmtId="0" fontId="49" fillId="0" borderId="0" xfId="7" applyFont="1" applyAlignment="1">
      <alignment horizontal="right"/>
    </xf>
    <xf numFmtId="0" fontId="111" fillId="0" borderId="0" xfId="101" applyFont="1" applyAlignment="1">
      <alignment wrapText="1"/>
    </xf>
    <xf numFmtId="0" fontId="96" fillId="31" borderId="0" xfId="7" applyFont="1" applyFill="1" applyAlignment="1">
      <alignment horizontal="left" vertical="top" wrapText="1"/>
    </xf>
    <xf numFmtId="0" fontId="111" fillId="0" borderId="0" xfId="101" applyFont="1" applyAlignment="1">
      <alignment horizontal="left" wrapText="1"/>
    </xf>
    <xf numFmtId="167" fontId="45" fillId="0" borderId="0" xfId="28" applyNumberFormat="1" applyFont="1" applyFill="1" applyBorder="1" applyAlignment="1">
      <alignment horizontal="left"/>
    </xf>
    <xf numFmtId="9" fontId="45" fillId="0" borderId="0" xfId="282" applyFont="1" applyFill="1" applyBorder="1" applyAlignment="1">
      <alignment horizontal="right"/>
    </xf>
    <xf numFmtId="0" fontId="45" fillId="0" borderId="0" xfId="101" applyFont="1" applyAlignment="1">
      <alignment horizontal="left"/>
    </xf>
    <xf numFmtId="0" fontId="82" fillId="31" borderId="0" xfId="140" applyFont="1" applyFill="1" applyAlignment="1">
      <alignment horizontal="left"/>
    </xf>
    <xf numFmtId="0" fontId="82" fillId="31" borderId="12" xfId="140" applyFont="1" applyFill="1" applyBorder="1"/>
    <xf numFmtId="0" fontId="82" fillId="31" borderId="12" xfId="140" applyFont="1" applyFill="1" applyBorder="1" applyAlignment="1">
      <alignment horizontal="right"/>
    </xf>
    <xf numFmtId="0" fontId="50" fillId="0" borderId="0" xfId="284"/>
    <xf numFmtId="0" fontId="50" fillId="0" borderId="0" xfId="284" applyAlignment="1">
      <alignment wrapText="1"/>
    </xf>
    <xf numFmtId="14" fontId="50" fillId="0" borderId="0" xfId="284" applyNumberFormat="1" applyAlignment="1">
      <alignment wrapText="1"/>
    </xf>
    <xf numFmtId="0" fontId="96" fillId="0" borderId="0" xfId="284" applyFont="1" applyAlignment="1">
      <alignment vertical="top"/>
    </xf>
    <xf numFmtId="0" fontId="50" fillId="30" borderId="0" xfId="284" applyFill="1"/>
    <xf numFmtId="0" fontId="49" fillId="0" borderId="12" xfId="284" applyFont="1" applyBorder="1" applyAlignment="1">
      <alignment horizontal="right" vertical="center" wrapText="1"/>
    </xf>
    <xf numFmtId="0" fontId="47" fillId="0" borderId="12" xfId="284" applyFont="1" applyBorder="1" applyAlignment="1">
      <alignment horizontal="right" wrapText="1"/>
    </xf>
    <xf numFmtId="0" fontId="45" fillId="0" borderId="12" xfId="284" applyFont="1" applyBorder="1" applyAlignment="1">
      <alignment horizontal="right" wrapText="1"/>
    </xf>
    <xf numFmtId="0" fontId="45" fillId="0" borderId="12" xfId="101" applyFont="1" applyBorder="1" applyAlignment="1">
      <alignment horizontal="right" wrapText="1"/>
    </xf>
    <xf numFmtId="0" fontId="141" fillId="30" borderId="0" xfId="284" applyFont="1" applyFill="1"/>
    <xf numFmtId="0" fontId="79" fillId="0" borderId="0" xfId="284" applyFont="1"/>
    <xf numFmtId="0" fontId="79" fillId="0" borderId="0" xfId="284" applyFont="1" applyAlignment="1">
      <alignment horizontal="left"/>
    </xf>
    <xf numFmtId="0" fontId="79" fillId="30" borderId="0" xfId="284" applyFont="1" applyFill="1" applyAlignment="1">
      <alignment horizontal="left"/>
    </xf>
    <xf numFmtId="0" fontId="142" fillId="0" borderId="0" xfId="284" applyFont="1" applyAlignment="1">
      <alignment horizontal="left"/>
    </xf>
    <xf numFmtId="168" fontId="91" fillId="0" borderId="0" xfId="132" applyNumberFormat="1" applyFont="1" applyFill="1" applyBorder="1" applyAlignment="1"/>
    <xf numFmtId="168" fontId="89" fillId="0" borderId="0" xfId="132" applyNumberFormat="1" applyFont="1" applyFill="1" applyBorder="1"/>
    <xf numFmtId="168" fontId="89" fillId="0" borderId="0" xfId="132" applyNumberFormat="1" applyFont="1" applyFill="1" applyBorder="1" applyAlignment="1"/>
    <xf numFmtId="0" fontId="80" fillId="30" borderId="0" xfId="284" applyFont="1" applyFill="1"/>
    <xf numFmtId="0" fontId="80" fillId="0" borderId="0" xfId="284" applyFont="1"/>
    <xf numFmtId="0" fontId="76" fillId="0" borderId="0" xfId="284" applyFont="1"/>
    <xf numFmtId="168" fontId="91" fillId="0" borderId="0" xfId="132" applyNumberFormat="1" applyFont="1" applyFill="1" applyBorder="1"/>
    <xf numFmtId="0" fontId="96" fillId="30" borderId="0" xfId="284" applyFont="1" applyFill="1"/>
    <xf numFmtId="0" fontId="50" fillId="31" borderId="0" xfId="284" applyFill="1"/>
    <xf numFmtId="0" fontId="45" fillId="31" borderId="12" xfId="284" applyFont="1" applyFill="1" applyBorder="1" applyAlignment="1">
      <alignment horizontal="right" wrapText="1"/>
    </xf>
    <xf numFmtId="0" fontId="53" fillId="31" borderId="0" xfId="101" applyFont="1" applyFill="1" applyAlignment="1">
      <alignment horizontal="right" wrapText="1"/>
    </xf>
    <xf numFmtId="0" fontId="53" fillId="0" borderId="0" xfId="101" applyFont="1" applyAlignment="1">
      <alignment horizontal="right" wrapText="1"/>
    </xf>
    <xf numFmtId="0" fontId="53" fillId="37" borderId="0" xfId="101" applyFont="1" applyFill="1" applyAlignment="1">
      <alignment horizontal="right" wrapText="1"/>
    </xf>
    <xf numFmtId="14" fontId="50" fillId="0" borderId="0" xfId="284" applyNumberFormat="1"/>
    <xf numFmtId="0" fontId="53" fillId="37" borderId="0" xfId="284" applyFont="1" applyFill="1" applyAlignment="1">
      <alignment horizontal="right" wrapText="1"/>
    </xf>
    <xf numFmtId="168" fontId="91" fillId="31" borderId="0" xfId="285" applyNumberFormat="1" applyFont="1" applyFill="1" applyBorder="1" applyAlignment="1"/>
    <xf numFmtId="168" fontId="89" fillId="31" borderId="0" xfId="285" applyNumberFormat="1" applyFont="1" applyFill="1"/>
    <xf numFmtId="168" fontId="89" fillId="31" borderId="0" xfId="285" applyNumberFormat="1" applyFont="1" applyFill="1" applyAlignment="1"/>
    <xf numFmtId="3" fontId="89" fillId="0" borderId="0" xfId="286" applyNumberFormat="1" applyFont="1"/>
    <xf numFmtId="0" fontId="53" fillId="0" borderId="0" xfId="101" applyFont="1" applyAlignment="1">
      <alignment horizontal="right"/>
    </xf>
    <xf numFmtId="9" fontId="101" fillId="0" borderId="0" xfId="282" applyFont="1"/>
    <xf numFmtId="3" fontId="143" fillId="0" borderId="0" xfId="286" applyNumberFormat="1" applyFont="1"/>
    <xf numFmtId="168" fontId="102" fillId="31" borderId="0" xfId="285" applyNumberFormat="1" applyFont="1" applyFill="1"/>
    <xf numFmtId="168" fontId="50" fillId="31" borderId="0" xfId="285" applyNumberFormat="1" applyFont="1" applyFill="1"/>
    <xf numFmtId="0" fontId="53" fillId="38" borderId="0" xfId="101" applyFont="1" applyFill="1" applyAlignment="1">
      <alignment horizontal="right"/>
    </xf>
    <xf numFmtId="3" fontId="102" fillId="0" borderId="0" xfId="284" applyNumberFormat="1" applyFont="1"/>
    <xf numFmtId="3" fontId="50" fillId="0" borderId="0" xfId="284" applyNumberFormat="1"/>
    <xf numFmtId="3" fontId="102" fillId="31" borderId="0" xfId="284" applyNumberFormat="1" applyFont="1" applyFill="1"/>
    <xf numFmtId="3" fontId="50" fillId="31" borderId="0" xfId="284" applyNumberFormat="1" applyFill="1"/>
    <xf numFmtId="3" fontId="102" fillId="31" borderId="0" xfId="287" applyNumberFormat="1" applyFont="1" applyFill="1"/>
    <xf numFmtId="0" fontId="53" fillId="38" borderId="0" xfId="101" applyFont="1" applyFill="1" applyAlignment="1">
      <alignment horizontal="right" wrapText="1"/>
    </xf>
    <xf numFmtId="0" fontId="53" fillId="38" borderId="0" xfId="101" applyFont="1" applyFill="1" applyAlignment="1">
      <alignment horizontal="right" vertical="top" wrapText="1"/>
    </xf>
    <xf numFmtId="0" fontId="45" fillId="0" borderId="0" xfId="101" applyFont="1" applyAlignment="1">
      <alignment vertical="top" wrapText="1"/>
    </xf>
    <xf numFmtId="0" fontId="53" fillId="38" borderId="0" xfId="284" applyFont="1" applyFill="1" applyAlignment="1">
      <alignment horizontal="right"/>
    </xf>
    <xf numFmtId="168" fontId="89" fillId="31" borderId="0" xfId="285" applyNumberFormat="1" applyFont="1" applyFill="1" applyBorder="1" applyAlignment="1"/>
    <xf numFmtId="0" fontId="45" fillId="0" borderId="0" xfId="284" applyFont="1"/>
    <xf numFmtId="0" fontId="101" fillId="31" borderId="0" xfId="284" applyFont="1" applyFill="1"/>
    <xf numFmtId="0" fontId="101" fillId="0" borderId="0" xfId="284" applyFont="1"/>
    <xf numFmtId="9" fontId="0" fillId="0" borderId="0" xfId="282" applyFont="1"/>
    <xf numFmtId="0" fontId="144" fillId="0" borderId="0" xfId="284" applyFont="1" applyAlignment="1">
      <alignment vertical="center" wrapText="1"/>
    </xf>
    <xf numFmtId="3" fontId="53" fillId="31" borderId="0" xfId="284" applyNumberFormat="1" applyFont="1" applyFill="1"/>
    <xf numFmtId="3" fontId="53" fillId="0" borderId="0" xfId="284" applyNumberFormat="1" applyFont="1"/>
    <xf numFmtId="0" fontId="50" fillId="31" borderId="0" xfId="284" applyFill="1" applyAlignment="1">
      <alignment wrapText="1"/>
    </xf>
    <xf numFmtId="3" fontId="102" fillId="31" borderId="0" xfId="284" applyNumberFormat="1" applyFont="1" applyFill="1" applyAlignment="1">
      <alignment vertical="top"/>
    </xf>
    <xf numFmtId="167" fontId="0" fillId="0" borderId="0" xfId="282" applyNumberFormat="1" applyFont="1" applyAlignment="1">
      <alignment wrapText="1"/>
    </xf>
    <xf numFmtId="9" fontId="45" fillId="0" borderId="0" xfId="282" applyFont="1" applyFill="1" applyAlignment="1">
      <alignment wrapText="1"/>
    </xf>
    <xf numFmtId="3" fontId="50" fillId="31" borderId="0" xfId="284" applyNumberFormat="1" applyFill="1" applyAlignment="1">
      <alignment vertical="top"/>
    </xf>
    <xf numFmtId="0" fontId="145" fillId="31" borderId="0" xfId="101" applyFont="1" applyFill="1" applyAlignment="1">
      <alignment wrapText="1"/>
    </xf>
    <xf numFmtId="0" fontId="53" fillId="0" borderId="0" xfId="101" applyFont="1" applyAlignment="1">
      <alignment wrapText="1"/>
    </xf>
    <xf numFmtId="0" fontId="53" fillId="0" borderId="0" xfId="101" applyFont="1" applyAlignment="1">
      <alignment horizontal="left" wrapText="1"/>
    </xf>
    <xf numFmtId="0" fontId="145" fillId="0" borderId="0" xfId="101" applyFont="1" applyAlignment="1">
      <alignment horizontal="left" vertical="top" wrapText="1"/>
    </xf>
    <xf numFmtId="0" fontId="53" fillId="0" borderId="0" xfId="101" applyFont="1" applyAlignment="1">
      <alignment horizontal="left" vertical="top" wrapText="1"/>
    </xf>
    <xf numFmtId="0" fontId="89" fillId="0" borderId="0" xfId="284" applyFont="1"/>
    <xf numFmtId="0" fontId="53" fillId="0" borderId="0" xfId="284" applyFont="1" applyAlignment="1">
      <alignment wrapText="1"/>
    </xf>
    <xf numFmtId="3" fontId="53" fillId="0" borderId="0" xfId="284" applyNumberFormat="1" applyFont="1" applyAlignment="1">
      <alignment wrapText="1"/>
    </xf>
    <xf numFmtId="9" fontId="53" fillId="0" borderId="0" xfId="282" applyFont="1" applyFill="1" applyBorder="1" applyAlignment="1">
      <alignment wrapText="1"/>
    </xf>
    <xf numFmtId="3" fontId="102" fillId="0" borderId="0" xfId="284" applyNumberFormat="1" applyFont="1" applyAlignment="1">
      <alignment vertical="top"/>
    </xf>
    <xf numFmtId="3" fontId="50" fillId="0" borderId="0" xfId="284" applyNumberFormat="1" applyAlignment="1">
      <alignment vertical="top"/>
    </xf>
    <xf numFmtId="0" fontId="45" fillId="0" borderId="12" xfId="284" applyFont="1" applyBorder="1"/>
    <xf numFmtId="0" fontId="50" fillId="0" borderId="12" xfId="284" applyBorder="1"/>
    <xf numFmtId="3" fontId="50" fillId="0" borderId="12" xfId="284" applyNumberFormat="1" applyBorder="1"/>
    <xf numFmtId="3" fontId="120" fillId="32" borderId="0" xfId="284" applyNumberFormat="1" applyFont="1" applyFill="1" applyAlignment="1">
      <alignment vertical="top"/>
    </xf>
    <xf numFmtId="2" fontId="50" fillId="0" borderId="0" xfId="284" applyNumberFormat="1"/>
    <xf numFmtId="3" fontId="120" fillId="32" borderId="0" xfId="284" applyNumberFormat="1" applyFont="1" applyFill="1"/>
    <xf numFmtId="3" fontId="116" fillId="32" borderId="0" xfId="284" applyNumberFormat="1" applyFont="1" applyFill="1"/>
    <xf numFmtId="3" fontId="116" fillId="0" borderId="0" xfId="289" applyNumberFormat="1"/>
    <xf numFmtId="0" fontId="146" fillId="0" borderId="0" xfId="284" applyFont="1"/>
    <xf numFmtId="0" fontId="147" fillId="0" borderId="0" xfId="284" applyFont="1"/>
    <xf numFmtId="0" fontId="148" fillId="0" borderId="0" xfId="284" applyFont="1"/>
    <xf numFmtId="0" fontId="49" fillId="0" borderId="0" xfId="290" applyFont="1"/>
    <xf numFmtId="0" fontId="81" fillId="0" borderId="0" xfId="290" applyFont="1"/>
    <xf numFmtId="0" fontId="46" fillId="0" borderId="0" xfId="290" applyFont="1"/>
    <xf numFmtId="0" fontId="49" fillId="0" borderId="0" xfId="290" applyFont="1" applyAlignment="1">
      <alignment horizontal="left"/>
    </xf>
    <xf numFmtId="0" fontId="49" fillId="30" borderId="0" xfId="290" applyFont="1" applyFill="1"/>
    <xf numFmtId="0" fontId="81" fillId="30" borderId="0" xfId="290" applyFont="1" applyFill="1"/>
    <xf numFmtId="0" fontId="46" fillId="30" borderId="0" xfId="290" applyFont="1" applyFill="1"/>
    <xf numFmtId="0" fontId="49" fillId="30" borderId="0" xfId="290" applyFont="1" applyFill="1" applyAlignment="1">
      <alignment horizontal="left"/>
    </xf>
    <xf numFmtId="0" fontId="149" fillId="30" borderId="0" xfId="290" applyFont="1" applyFill="1"/>
    <xf numFmtId="0" fontId="79" fillId="30" borderId="0" xfId="290" applyFont="1" applyFill="1"/>
    <xf numFmtId="0" fontId="76" fillId="30" borderId="0" xfId="290" applyFont="1" applyFill="1" applyAlignment="1">
      <alignment horizontal="left"/>
    </xf>
    <xf numFmtId="0" fontId="76" fillId="30" borderId="0" xfId="290" applyFont="1" applyFill="1"/>
    <xf numFmtId="0" fontId="151" fillId="30" borderId="0" xfId="290" applyFont="1" applyFill="1" applyAlignment="1">
      <alignment horizontal="left"/>
    </xf>
    <xf numFmtId="0" fontId="76" fillId="30" borderId="0" xfId="290" applyFont="1" applyFill="1" applyAlignment="1">
      <alignment horizontal="center" wrapText="1"/>
    </xf>
    <xf numFmtId="0" fontId="49" fillId="36" borderId="0" xfId="290" applyFont="1" applyFill="1"/>
    <xf numFmtId="0" fontId="49" fillId="31" borderId="0" xfId="290" applyFont="1" applyFill="1"/>
    <xf numFmtId="0" fontId="50" fillId="31" borderId="0" xfId="290" applyFont="1" applyFill="1" applyAlignment="1">
      <alignment horizontal="center"/>
    </xf>
    <xf numFmtId="0" fontId="50" fillId="31" borderId="0" xfId="290" applyFont="1" applyFill="1" applyAlignment="1">
      <alignment horizontal="left"/>
    </xf>
    <xf numFmtId="0" fontId="50" fillId="31" borderId="0" xfId="290" applyFont="1" applyFill="1" applyAlignment="1">
      <alignment horizontal="center" wrapText="1"/>
    </xf>
    <xf numFmtId="0" fontId="50" fillId="31" borderId="0" xfId="290" applyFont="1" applyFill="1"/>
    <xf numFmtId="0" fontId="140" fillId="0" borderId="0" xfId="192" applyFont="1" applyBorder="1"/>
    <xf numFmtId="0" fontId="50" fillId="31" borderId="12" xfId="290" applyFont="1" applyFill="1" applyBorder="1" applyAlignment="1">
      <alignment horizontal="center"/>
    </xf>
    <xf numFmtId="0" fontId="50" fillId="31" borderId="12" xfId="290" applyFont="1" applyFill="1" applyBorder="1" applyAlignment="1">
      <alignment horizontal="right"/>
    </xf>
    <xf numFmtId="0" fontId="50" fillId="31" borderId="12" xfId="290" applyFont="1" applyFill="1" applyBorder="1" applyAlignment="1">
      <alignment horizontal="right" wrapText="1"/>
    </xf>
    <xf numFmtId="0" fontId="50" fillId="31" borderId="12" xfId="290" applyFont="1" applyFill="1" applyBorder="1"/>
    <xf numFmtId="0" fontId="49" fillId="0" borderId="0" xfId="290" applyFont="1" applyAlignment="1">
      <alignment horizontal="right" wrapText="1"/>
    </xf>
    <xf numFmtId="3" fontId="50" fillId="31" borderId="0" xfId="290" applyNumberFormat="1" applyFont="1" applyFill="1"/>
    <xf numFmtId="168" fontId="50" fillId="31" borderId="0" xfId="74" applyNumberFormat="1" applyFont="1" applyFill="1" applyBorder="1" applyAlignment="1">
      <alignment horizontal="right"/>
    </xf>
    <xf numFmtId="167" fontId="50" fillId="31" borderId="0" xfId="291" applyNumberFormat="1" applyFont="1" applyFill="1" applyBorder="1"/>
    <xf numFmtId="177" fontId="50" fillId="31" borderId="0" xfId="290" applyNumberFormat="1" applyFont="1" applyFill="1" applyAlignment="1">
      <alignment horizontal="right"/>
    </xf>
    <xf numFmtId="3" fontId="49" fillId="0" borderId="0" xfId="290" applyNumberFormat="1" applyFont="1"/>
    <xf numFmtId="0" fontId="46" fillId="0" borderId="0" xfId="290" applyFont="1" applyAlignment="1">
      <alignment horizontal="center" wrapText="1"/>
    </xf>
    <xf numFmtId="2" fontId="49" fillId="31" borderId="0" xfId="290" applyNumberFormat="1" applyFont="1" applyFill="1"/>
    <xf numFmtId="167" fontId="50" fillId="31" borderId="0" xfId="291" applyNumberFormat="1" applyFont="1" applyFill="1" applyBorder="1" applyAlignment="1"/>
    <xf numFmtId="177" fontId="50" fillId="31" borderId="0" xfId="290" applyNumberFormat="1" applyFont="1" applyFill="1"/>
    <xf numFmtId="0" fontId="50" fillId="31" borderId="0" xfId="29" applyFont="1" applyFill="1"/>
    <xf numFmtId="3" fontId="50" fillId="31" borderId="0" xfId="29" applyNumberFormat="1" applyFont="1" applyFill="1"/>
    <xf numFmtId="177" fontId="50" fillId="31" borderId="0" xfId="29" applyNumberFormat="1" applyFont="1" applyFill="1"/>
    <xf numFmtId="0" fontId="50" fillId="31" borderId="12" xfId="290" applyFont="1" applyFill="1" applyBorder="1" applyAlignment="1">
      <alignment horizontal="left"/>
    </xf>
    <xf numFmtId="3" fontId="50" fillId="31" borderId="12" xfId="290" applyNumberFormat="1" applyFont="1" applyFill="1" applyBorder="1"/>
    <xf numFmtId="168" fontId="50" fillId="31" borderId="12" xfId="74" applyNumberFormat="1" applyFont="1" applyFill="1" applyBorder="1" applyAlignment="1">
      <alignment horizontal="right"/>
    </xf>
    <xf numFmtId="3" fontId="50" fillId="31" borderId="12" xfId="29" applyNumberFormat="1" applyFont="1" applyFill="1" applyBorder="1"/>
    <xf numFmtId="167" fontId="50" fillId="31" borderId="12" xfId="291" applyNumberFormat="1" applyFont="1" applyFill="1" applyBorder="1" applyAlignment="1"/>
    <xf numFmtId="0" fontId="50" fillId="31" borderId="12" xfId="29" applyFont="1" applyFill="1" applyBorder="1"/>
    <xf numFmtId="177" fontId="50" fillId="31" borderId="12" xfId="29" applyNumberFormat="1" applyFont="1" applyFill="1" applyBorder="1"/>
    <xf numFmtId="168" fontId="50" fillId="31" borderId="0" xfId="284" applyNumberFormat="1" applyFill="1"/>
    <xf numFmtId="181" fontId="50" fillId="31" borderId="0" xfId="284" applyNumberFormat="1" applyFill="1"/>
    <xf numFmtId="0" fontId="152" fillId="0" borderId="0" xfId="290" applyFont="1" applyAlignment="1">
      <alignment horizontal="center" vertical="center" wrapText="1" readingOrder="1"/>
    </xf>
    <xf numFmtId="3" fontId="50" fillId="0" borderId="0" xfId="277" applyNumberFormat="1" applyFont="1"/>
    <xf numFmtId="3" fontId="50" fillId="0" borderId="0" xfId="276" applyNumberFormat="1" applyFont="1"/>
    <xf numFmtId="3" fontId="120" fillId="0" borderId="0" xfId="284" applyNumberFormat="1" applyFont="1"/>
    <xf numFmtId="0" fontId="49" fillId="31" borderId="0" xfId="290" applyFont="1" applyFill="1" applyAlignment="1">
      <alignment horizontal="left"/>
    </xf>
    <xf numFmtId="3" fontId="116" fillId="31" borderId="0" xfId="277" applyNumberFormat="1" applyFill="1"/>
    <xf numFmtId="3" fontId="49" fillId="31" borderId="0" xfId="290" applyNumberFormat="1" applyFont="1" applyFill="1"/>
    <xf numFmtId="168" fontId="49" fillId="31" borderId="0" xfId="74" applyNumberFormat="1" applyFont="1" applyFill="1" applyBorder="1"/>
    <xf numFmtId="168" fontId="49" fillId="31" borderId="0" xfId="74" applyNumberFormat="1" applyFont="1" applyFill="1" applyBorder="1" applyAlignment="1">
      <alignment horizontal="right"/>
    </xf>
    <xf numFmtId="167" fontId="49" fillId="31" borderId="0" xfId="291" applyNumberFormat="1" applyFont="1" applyFill="1" applyBorder="1"/>
    <xf numFmtId="172" fontId="49" fillId="31" borderId="0" xfId="290" applyNumberFormat="1" applyFont="1" applyFill="1"/>
    <xf numFmtId="168" fontId="49" fillId="0" borderId="0" xfId="74" applyNumberFormat="1" applyFont="1" applyBorder="1" applyAlignment="1">
      <alignment horizontal="right"/>
    </xf>
    <xf numFmtId="168" fontId="49" fillId="0" borderId="0" xfId="74" applyNumberFormat="1" applyFont="1" applyBorder="1"/>
    <xf numFmtId="168" fontId="49" fillId="0" borderId="0" xfId="74" applyNumberFormat="1" applyFont="1" applyFill="1" applyBorder="1" applyAlignment="1">
      <alignment horizontal="right"/>
    </xf>
    <xf numFmtId="167" fontId="49" fillId="0" borderId="0" xfId="291" applyNumberFormat="1" applyFont="1" applyBorder="1"/>
    <xf numFmtId="172" fontId="49" fillId="0" borderId="0" xfId="290" applyNumberFormat="1" applyFont="1"/>
    <xf numFmtId="20" fontId="45" fillId="13" borderId="0" xfId="99" applyNumberFormat="1" applyFont="1" applyFill="1" applyAlignment="1">
      <alignment horizontal="left"/>
    </xf>
    <xf numFmtId="0" fontId="45" fillId="13" borderId="0" xfId="99" applyFont="1" applyFill="1" applyAlignment="1">
      <alignment horizontal="left"/>
    </xf>
    <xf numFmtId="3" fontId="45" fillId="13" borderId="0" xfId="99" applyNumberFormat="1" applyFont="1" applyFill="1"/>
    <xf numFmtId="175" fontId="85" fillId="13" borderId="0" xfId="275" applyFont="1" applyFill="1"/>
    <xf numFmtId="0" fontId="45" fillId="13" borderId="0" xfId="290" applyFont="1" applyFill="1"/>
    <xf numFmtId="20" fontId="50" fillId="13" borderId="0" xfId="99" applyNumberFormat="1" applyFont="1" applyFill="1"/>
    <xf numFmtId="0" fontId="47" fillId="0" borderId="0" xfId="0" applyFont="1" applyAlignment="1">
      <alignment horizontal="right"/>
    </xf>
    <xf numFmtId="0" fontId="50" fillId="31" borderId="0" xfId="278" applyFont="1" applyFill="1" applyAlignment="1">
      <alignment horizontal="center"/>
    </xf>
    <xf numFmtId="9" fontId="0" fillId="31" borderId="14" xfId="282" applyFont="1" applyFill="1" applyBorder="1"/>
    <xf numFmtId="0" fontId="50" fillId="31" borderId="0" xfId="0" applyFont="1" applyFill="1" applyAlignment="1">
      <alignment horizontal="center"/>
    </xf>
    <xf numFmtId="0" fontId="50" fillId="31" borderId="13" xfId="0" applyFont="1" applyFill="1" applyBorder="1"/>
    <xf numFmtId="1" fontId="50" fillId="31" borderId="13" xfId="0" applyNumberFormat="1" applyFont="1" applyFill="1" applyBorder="1"/>
    <xf numFmtId="9" fontId="50" fillId="31" borderId="13" xfId="282" applyFont="1" applyFill="1" applyBorder="1"/>
    <xf numFmtId="0" fontId="50" fillId="31" borderId="14" xfId="0" applyFont="1" applyFill="1" applyBorder="1"/>
    <xf numFmtId="1" fontId="50" fillId="31" borderId="14" xfId="0" applyNumberFormat="1" applyFont="1" applyFill="1" applyBorder="1"/>
    <xf numFmtId="9" fontId="50" fillId="31" borderId="14" xfId="282" applyFont="1" applyFill="1" applyBorder="1"/>
    <xf numFmtId="168" fontId="50" fillId="31" borderId="0" xfId="1" applyNumberFormat="1" applyFont="1" applyFill="1" applyAlignment="1">
      <alignment horizontal="right"/>
    </xf>
    <xf numFmtId="168" fontId="102" fillId="31" borderId="0" xfId="1" applyNumberFormat="1" applyFont="1" applyFill="1" applyAlignment="1">
      <alignment horizontal="right"/>
    </xf>
    <xf numFmtId="0" fontId="94" fillId="30" borderId="0" xfId="284" applyFont="1" applyFill="1"/>
    <xf numFmtId="0" fontId="49" fillId="31" borderId="12" xfId="284" applyFont="1" applyFill="1" applyBorder="1" applyAlignment="1">
      <alignment vertical="center" wrapText="1"/>
    </xf>
    <xf numFmtId="0" fontId="45" fillId="31" borderId="0" xfId="284" applyFont="1" applyFill="1"/>
    <xf numFmtId="0" fontId="89" fillId="31" borderId="0" xfId="284" applyFont="1" applyFill="1"/>
    <xf numFmtId="0" fontId="53" fillId="0" borderId="0" xfId="101" applyFont="1" applyAlignment="1">
      <alignment vertical="top"/>
    </xf>
    <xf numFmtId="0" fontId="31" fillId="0" borderId="0" xfId="62" applyFont="1" applyAlignment="1"/>
    <xf numFmtId="0" fontId="53" fillId="0" borderId="0" xfId="284" applyFont="1"/>
    <xf numFmtId="0" fontId="104" fillId="0" borderId="0" xfId="288" applyAlignment="1"/>
    <xf numFmtId="17" fontId="50" fillId="0" borderId="0" xfId="284" applyNumberFormat="1"/>
    <xf numFmtId="0" fontId="101" fillId="31" borderId="0" xfId="278" applyFont="1" applyFill="1" applyAlignment="1">
      <alignment horizontal="left" wrapText="1"/>
    </xf>
    <xf numFmtId="0" fontId="133" fillId="0" borderId="0" xfId="278" applyFont="1"/>
    <xf numFmtId="0" fontId="47" fillId="30" borderId="0" xfId="101" applyFont="1" applyFill="1"/>
    <xf numFmtId="0" fontId="75" fillId="30" borderId="0" xfId="101" applyFont="1" applyFill="1"/>
    <xf numFmtId="0" fontId="153" fillId="30" borderId="0" xfId="101" applyFont="1" applyFill="1" applyAlignment="1">
      <alignment horizontal="left" wrapText="1"/>
    </xf>
    <xf numFmtId="0" fontId="153" fillId="30" borderId="0" xfId="7" applyFont="1" applyFill="1" applyAlignment="1">
      <alignment horizontal="left" vertical="top" wrapText="1"/>
    </xf>
    <xf numFmtId="0" fontId="153" fillId="31" borderId="0" xfId="7" applyFont="1" applyFill="1" applyAlignment="1">
      <alignment horizontal="left" vertical="top" wrapText="1"/>
    </xf>
    <xf numFmtId="0" fontId="101" fillId="31" borderId="0" xfId="278" applyFont="1" applyFill="1" applyAlignment="1">
      <alignment horizontal="left"/>
    </xf>
    <xf numFmtId="0" fontId="82" fillId="31" borderId="13" xfId="140" applyFont="1" applyFill="1" applyBorder="1"/>
    <xf numFmtId="49" fontId="139" fillId="31" borderId="13" xfId="140" applyNumberFormat="1" applyFont="1" applyFill="1" applyBorder="1" applyAlignment="1">
      <alignment horizontal="right"/>
    </xf>
    <xf numFmtId="168" fontId="82" fillId="31" borderId="13" xfId="280" applyNumberFormat="1" applyFont="1" applyFill="1" applyBorder="1"/>
    <xf numFmtId="168" fontId="82" fillId="31" borderId="13" xfId="140" applyNumberFormat="1" applyFont="1" applyFill="1" applyBorder="1"/>
    <xf numFmtId="168" fontId="82" fillId="31" borderId="13" xfId="267" applyNumberFormat="1" applyFont="1" applyFill="1" applyBorder="1" applyAlignment="1" applyProtection="1">
      <alignment wrapText="1"/>
      <protection locked="0"/>
    </xf>
    <xf numFmtId="168" fontId="138" fillId="31" borderId="13" xfId="280" applyNumberFormat="1" applyFont="1" applyFill="1" applyBorder="1"/>
    <xf numFmtId="0" fontId="82" fillId="31" borderId="14" xfId="140" applyFont="1" applyFill="1" applyBorder="1"/>
    <xf numFmtId="49" fontId="139" fillId="31" borderId="14" xfId="140" applyNumberFormat="1" applyFont="1" applyFill="1" applyBorder="1" applyAlignment="1">
      <alignment horizontal="right"/>
    </xf>
    <xf numFmtId="168" fontId="82" fillId="31" borderId="14" xfId="280" applyNumberFormat="1" applyFont="1" applyFill="1" applyBorder="1"/>
    <xf numFmtId="168" fontId="82" fillId="31" borderId="14" xfId="140" applyNumberFormat="1" applyFont="1" applyFill="1" applyBorder="1"/>
    <xf numFmtId="168" fontId="82" fillId="31" borderId="14" xfId="267" applyNumberFormat="1" applyFont="1" applyFill="1" applyBorder="1" applyAlignment="1" applyProtection="1">
      <alignment wrapText="1"/>
      <protection locked="0"/>
    </xf>
    <xf numFmtId="168" fontId="138" fillId="31" borderId="14" xfId="280" applyNumberFormat="1" applyFont="1" applyFill="1" applyBorder="1"/>
    <xf numFmtId="168" fontId="138" fillId="31" borderId="14" xfId="280" applyNumberFormat="1" applyFont="1" applyFill="1" applyBorder="1" applyAlignment="1">
      <alignment horizontal="right"/>
    </xf>
    <xf numFmtId="167" fontId="82" fillId="31" borderId="13" xfId="28" applyNumberFormat="1" applyFont="1" applyFill="1" applyBorder="1" applyAlignment="1">
      <alignment horizontal="right"/>
    </xf>
    <xf numFmtId="167" fontId="45" fillId="0" borderId="0" xfId="3" applyNumberFormat="1" applyFont="1"/>
    <xf numFmtId="167" fontId="82" fillId="31" borderId="15" xfId="28" applyNumberFormat="1" applyFont="1" applyFill="1" applyBorder="1" applyAlignment="1">
      <alignment horizontal="right"/>
    </xf>
    <xf numFmtId="0" fontId="155" fillId="30" borderId="0" xfId="101" applyFont="1" applyFill="1"/>
    <xf numFmtId="0" fontId="47" fillId="31" borderId="0" xfId="101" applyFont="1" applyFill="1"/>
    <xf numFmtId="0" fontId="157" fillId="31" borderId="0" xfId="62" applyFont="1" applyFill="1"/>
    <xf numFmtId="0" fontId="156" fillId="30" borderId="0" xfId="101" applyFont="1" applyFill="1" applyAlignment="1">
      <alignment horizontal="left" wrapText="1"/>
    </xf>
    <xf numFmtId="0" fontId="96" fillId="30" borderId="0" xfId="7" applyFont="1" applyFill="1" applyAlignment="1">
      <alignment horizontal="left" vertical="top" wrapText="1"/>
    </xf>
    <xf numFmtId="0" fontId="45" fillId="31" borderId="0" xfId="101" applyFont="1" applyFill="1" applyAlignment="1">
      <alignment horizontal="left" vertical="top" wrapText="1"/>
    </xf>
    <xf numFmtId="0" fontId="45" fillId="31" borderId="0" xfId="140" applyFont="1" applyFill="1" applyAlignment="1">
      <alignment horizontal="left" vertical="top" wrapText="1"/>
    </xf>
    <xf numFmtId="0" fontId="50" fillId="31" borderId="0" xfId="0" applyFont="1" applyFill="1" applyAlignment="1">
      <alignment horizontal="left" wrapText="1"/>
    </xf>
    <xf numFmtId="0" fontId="45" fillId="31" borderId="0" xfId="0" applyFont="1" applyFill="1" applyAlignment="1">
      <alignment horizontal="left" wrapText="1"/>
    </xf>
    <xf numFmtId="0" fontId="50" fillId="31" borderId="12" xfId="278" applyFont="1" applyFill="1" applyBorder="1" applyAlignment="1">
      <alignment horizontal="center"/>
    </xf>
    <xf numFmtId="0" fontId="50" fillId="31" borderId="12" xfId="278" applyFont="1" applyFill="1" applyBorder="1" applyAlignment="1">
      <alignment horizontal="center" wrapText="1"/>
    </xf>
    <xf numFmtId="0" fontId="101" fillId="31" borderId="0" xfId="278" applyFont="1" applyFill="1" applyAlignment="1">
      <alignment horizontal="left" wrapText="1"/>
    </xf>
    <xf numFmtId="39" fontId="50" fillId="31" borderId="0" xfId="0" applyNumberFormat="1" applyFont="1" applyFill="1" applyAlignment="1">
      <alignment horizontal="right" wrapText="1"/>
    </xf>
    <xf numFmtId="39" fontId="50" fillId="31" borderId="12" xfId="0" applyNumberFormat="1" applyFont="1" applyFill="1" applyBorder="1" applyAlignment="1">
      <alignment horizontal="right" wrapText="1"/>
    </xf>
    <xf numFmtId="0" fontId="50" fillId="31" borderId="12" xfId="0" applyFont="1" applyFill="1" applyBorder="1" applyAlignment="1">
      <alignment horizontal="center"/>
    </xf>
    <xf numFmtId="0" fontId="82" fillId="31" borderId="12" xfId="0" applyFont="1" applyFill="1" applyBorder="1" applyAlignment="1">
      <alignment horizontal="center"/>
    </xf>
    <xf numFmtId="0" fontId="96" fillId="30" borderId="0" xfId="0" applyFont="1" applyFill="1" applyAlignment="1">
      <alignment vertical="top"/>
    </xf>
    <xf numFmtId="0" fontId="118" fillId="32" borderId="0" xfId="21" applyFont="1" applyFill="1" applyAlignment="1">
      <alignment horizontal="left" wrapText="1"/>
    </xf>
    <xf numFmtId="0" fontId="117" fillId="32" borderId="0" xfId="62" applyFont="1" applyFill="1" applyAlignment="1">
      <alignment horizontal="left" wrapText="1"/>
    </xf>
    <xf numFmtId="0" fontId="118" fillId="32" borderId="0" xfId="0" applyFont="1" applyFill="1" applyAlignment="1">
      <alignment horizontal="left" vertical="top" wrapText="1"/>
    </xf>
    <xf numFmtId="0" fontId="50" fillId="31" borderId="12" xfId="0" applyFont="1" applyFill="1" applyBorder="1" applyAlignment="1">
      <alignment horizontal="center" vertical="top"/>
    </xf>
    <xf numFmtId="0" fontId="50" fillId="0" borderId="12" xfId="284" applyBorder="1" applyAlignment="1">
      <alignment horizontal="center" vertical="top"/>
    </xf>
    <xf numFmtId="0" fontId="96" fillId="30" borderId="0" xfId="284" applyFont="1" applyFill="1"/>
    <xf numFmtId="0" fontId="53" fillId="0" borderId="0" xfId="101" applyFont="1" applyAlignment="1">
      <alignment horizontal="left" wrapText="1"/>
    </xf>
    <xf numFmtId="0" fontId="53" fillId="0" borderId="0" xfId="101" applyFont="1" applyAlignment="1">
      <alignment horizontal="left" vertical="top" wrapText="1"/>
    </xf>
    <xf numFmtId="0" fontId="144" fillId="0" borderId="0" xfId="284" applyFont="1" applyAlignment="1">
      <alignment horizontal="left" wrapText="1"/>
    </xf>
    <xf numFmtId="0" fontId="50" fillId="31" borderId="12" xfId="290" applyFont="1" applyFill="1" applyBorder="1" applyAlignment="1">
      <alignment horizontal="center" wrapText="1"/>
    </xf>
    <xf numFmtId="0" fontId="50" fillId="31" borderId="12" xfId="290" applyFont="1" applyFill="1" applyBorder="1" applyAlignment="1">
      <alignment horizontal="center"/>
    </xf>
    <xf numFmtId="0" fontId="45" fillId="31" borderId="0" xfId="99" applyFont="1" applyFill="1" applyAlignment="1">
      <alignment horizontal="left" wrapText="1"/>
    </xf>
    <xf numFmtId="0" fontId="45" fillId="31" borderId="12" xfId="99" applyFont="1" applyFill="1" applyBorder="1" applyAlignment="1">
      <alignment horizontal="center" wrapText="1"/>
    </xf>
    <xf numFmtId="0" fontId="45" fillId="31" borderId="12" xfId="99" applyFont="1" applyFill="1" applyBorder="1" applyAlignment="1">
      <alignment horizontal="center"/>
    </xf>
    <xf numFmtId="0" fontId="45" fillId="31" borderId="0" xfId="99" applyFont="1" applyFill="1" applyAlignment="1">
      <alignment horizontal="center"/>
    </xf>
    <xf numFmtId="0" fontId="45" fillId="31" borderId="0" xfId="99" applyFont="1" applyFill="1" applyAlignment="1">
      <alignment horizontal="right" wrapText="1"/>
    </xf>
    <xf numFmtId="0" fontId="45" fillId="31" borderId="12" xfId="99" applyFont="1" applyFill="1" applyBorder="1" applyAlignment="1">
      <alignment horizontal="right" wrapText="1"/>
    </xf>
    <xf numFmtId="20" fontId="50" fillId="31" borderId="0" xfId="99" applyNumberFormat="1" applyFont="1" applyFill="1" applyAlignment="1">
      <alignment horizontal="left" wrapText="1"/>
    </xf>
    <xf numFmtId="0" fontId="50" fillId="31" borderId="0" xfId="99" applyFont="1" applyFill="1" applyAlignment="1">
      <alignment horizontal="left" vertical="center" wrapText="1"/>
    </xf>
    <xf numFmtId="0" fontId="94" fillId="30" borderId="0" xfId="101" applyFont="1" applyFill="1" applyAlignment="1">
      <alignment horizontal="left"/>
    </xf>
    <xf numFmtId="0" fontId="45" fillId="31" borderId="0" xfId="101" applyFont="1" applyFill="1" applyAlignment="1">
      <alignment horizontal="center"/>
    </xf>
    <xf numFmtId="0" fontId="45" fillId="31" borderId="12" xfId="101" applyFont="1" applyFill="1" applyBorder="1" applyAlignment="1">
      <alignment horizontal="center"/>
    </xf>
    <xf numFmtId="0" fontId="45" fillId="31" borderId="0" xfId="101" applyFont="1" applyFill="1" applyAlignment="1">
      <alignment horizontal="center" wrapText="1"/>
    </xf>
    <xf numFmtId="0" fontId="45" fillId="31" borderId="12" xfId="101" applyFont="1" applyFill="1" applyBorder="1" applyAlignment="1">
      <alignment horizontal="center" wrapText="1"/>
    </xf>
    <xf numFmtId="0" fontId="90" fillId="31" borderId="12" xfId="101" applyFont="1" applyFill="1" applyBorder="1" applyAlignment="1">
      <alignment horizontal="center"/>
    </xf>
    <xf numFmtId="0" fontId="96" fillId="30" borderId="0" xfId="0" applyFont="1" applyFill="1" applyAlignment="1">
      <alignment horizontal="left" wrapText="1"/>
    </xf>
  </cellXfs>
  <cellStyles count="292">
    <cellStyle name="20% - Accent1 2" xfId="9" xr:uid="{00000000-0005-0000-0000-000000000000}"/>
    <cellStyle name="20% - Accent1 3" xfId="193" xr:uid="{00000000-0005-0000-0000-000001000000}"/>
    <cellStyle name="20% - Accent2 2" xfId="10" xr:uid="{00000000-0005-0000-0000-000002000000}"/>
    <cellStyle name="20% - Accent2 3" xfId="194" xr:uid="{00000000-0005-0000-0000-000003000000}"/>
    <cellStyle name="20% - Accent3 2" xfId="11" xr:uid="{00000000-0005-0000-0000-000004000000}"/>
    <cellStyle name="20% - Accent3 3" xfId="195" xr:uid="{00000000-0005-0000-0000-000005000000}"/>
    <cellStyle name="20% - Accent4 2" xfId="12" xr:uid="{00000000-0005-0000-0000-000006000000}"/>
    <cellStyle name="20% - Accent4 3" xfId="196" xr:uid="{00000000-0005-0000-0000-000007000000}"/>
    <cellStyle name="20% - Accent5 2" xfId="13" xr:uid="{00000000-0005-0000-0000-000008000000}"/>
    <cellStyle name="20% - Accent5 3" xfId="197" xr:uid="{00000000-0005-0000-0000-000009000000}"/>
    <cellStyle name="20% - Accent6 2" xfId="14" xr:uid="{00000000-0005-0000-0000-00000A000000}"/>
    <cellStyle name="20% - Accent6 3" xfId="198" xr:uid="{00000000-0005-0000-0000-00000B000000}"/>
    <cellStyle name="40% - Accent1 2" xfId="15" xr:uid="{00000000-0005-0000-0000-00000C000000}"/>
    <cellStyle name="40% - Accent1 3" xfId="199" xr:uid="{00000000-0005-0000-0000-00000D000000}"/>
    <cellStyle name="40% - Accent2 2" xfId="16" xr:uid="{00000000-0005-0000-0000-00000E000000}"/>
    <cellStyle name="40% - Accent2 3" xfId="200" xr:uid="{00000000-0005-0000-0000-00000F000000}"/>
    <cellStyle name="40% - Accent3 2" xfId="17" xr:uid="{00000000-0005-0000-0000-000010000000}"/>
    <cellStyle name="40% - Accent3 3" xfId="201" xr:uid="{00000000-0005-0000-0000-000011000000}"/>
    <cellStyle name="40% - Accent4 2" xfId="18" xr:uid="{00000000-0005-0000-0000-000012000000}"/>
    <cellStyle name="40% - Accent4 3" xfId="202" xr:uid="{00000000-0005-0000-0000-000013000000}"/>
    <cellStyle name="40% - Accent5 2" xfId="19" xr:uid="{00000000-0005-0000-0000-000014000000}"/>
    <cellStyle name="40% - Accent5 3" xfId="203" xr:uid="{00000000-0005-0000-0000-000015000000}"/>
    <cellStyle name="40% - Accent6 2" xfId="20" xr:uid="{00000000-0005-0000-0000-000016000000}"/>
    <cellStyle name="40% - Accent6 3" xfId="204" xr:uid="{00000000-0005-0000-0000-000017000000}"/>
    <cellStyle name="60% - Accent1 2" xfId="205" xr:uid="{00000000-0005-0000-0000-000018000000}"/>
    <cellStyle name="60% - Accent2 2" xfId="206" xr:uid="{00000000-0005-0000-0000-000019000000}"/>
    <cellStyle name="60% - Accent3 2" xfId="207" xr:uid="{00000000-0005-0000-0000-00001A000000}"/>
    <cellStyle name="60% - Accent4 2" xfId="208" xr:uid="{00000000-0005-0000-0000-00001B000000}"/>
    <cellStyle name="60% - Accent5 2" xfId="209" xr:uid="{00000000-0005-0000-0000-00001C000000}"/>
    <cellStyle name="60% - Accent6 2" xfId="210" xr:uid="{00000000-0005-0000-0000-00001D000000}"/>
    <cellStyle name="Accent1 2" xfId="211" xr:uid="{00000000-0005-0000-0000-00001E000000}"/>
    <cellStyle name="Accent2 2" xfId="212" xr:uid="{00000000-0005-0000-0000-00001F000000}"/>
    <cellStyle name="Accent3 2" xfId="213" xr:uid="{00000000-0005-0000-0000-000020000000}"/>
    <cellStyle name="Accent4 2" xfId="214" xr:uid="{00000000-0005-0000-0000-000021000000}"/>
    <cellStyle name="Accent5 2" xfId="215" xr:uid="{00000000-0005-0000-0000-000022000000}"/>
    <cellStyle name="Accent6 2" xfId="216" xr:uid="{00000000-0005-0000-0000-000023000000}"/>
    <cellStyle name="Bad 2" xfId="217" xr:uid="{00000000-0005-0000-0000-000024000000}"/>
    <cellStyle name="Calculation 2" xfId="218" xr:uid="{00000000-0005-0000-0000-000025000000}"/>
    <cellStyle name="Check Cell 2" xfId="219" xr:uid="{00000000-0005-0000-0000-000026000000}"/>
    <cellStyle name="Comma" xfId="1" builtinId="3"/>
    <cellStyle name="Comma 10" xfId="220" xr:uid="{00000000-0005-0000-0000-000028000000}"/>
    <cellStyle name="Comma 11" xfId="132" xr:uid="{00000000-0005-0000-0000-000029000000}"/>
    <cellStyle name="Comma 11 2" xfId="171" xr:uid="{00000000-0005-0000-0000-00002A000000}"/>
    <cellStyle name="Comma 11 3" xfId="184" xr:uid="{00000000-0005-0000-0000-00002B000000}"/>
    <cellStyle name="Comma 12" xfId="246" xr:uid="{00000000-0005-0000-0000-00002C000000}"/>
    <cellStyle name="Comma 12 2" xfId="273" xr:uid="{00000000-0005-0000-0000-00002D000000}"/>
    <cellStyle name="Comma 13" xfId="249" xr:uid="{00000000-0005-0000-0000-00002E000000}"/>
    <cellStyle name="Comma 14" xfId="285" xr:uid="{74133F82-F43E-4D6F-A28A-0D812E8FDE29}"/>
    <cellStyle name="Comma 2" xfId="2" xr:uid="{00000000-0005-0000-0000-00002F000000}"/>
    <cellStyle name="Comma 2 2" xfId="49" xr:uid="{00000000-0005-0000-0000-000030000000}"/>
    <cellStyle name="Comma 2 2 2" xfId="70" xr:uid="{00000000-0005-0000-0000-000031000000}"/>
    <cellStyle name="Comma 2 2 3" xfId="129" xr:uid="{00000000-0005-0000-0000-000032000000}"/>
    <cellStyle name="Comma 2 2 4" xfId="130" xr:uid="{00000000-0005-0000-0000-000033000000}"/>
    <cellStyle name="Comma 2 2 5" xfId="154" xr:uid="{00000000-0005-0000-0000-000034000000}"/>
    <cellStyle name="Comma 2 2 6" xfId="176" xr:uid="{00000000-0005-0000-0000-000035000000}"/>
    <cellStyle name="Comma 2 2 7" xfId="251" xr:uid="{00000000-0005-0000-0000-000036000000}"/>
    <cellStyle name="Comma 2 3" xfId="71" xr:uid="{00000000-0005-0000-0000-000037000000}"/>
    <cellStyle name="Comma 2 4" xfId="69" xr:uid="{00000000-0005-0000-0000-000038000000}"/>
    <cellStyle name="Comma 2 5" xfId="153" xr:uid="{00000000-0005-0000-0000-000039000000}"/>
    <cellStyle name="Comma 2 6" xfId="175" xr:uid="{00000000-0005-0000-0000-00003A000000}"/>
    <cellStyle name="Comma 2 7" xfId="250" xr:uid="{00000000-0005-0000-0000-00003B000000}"/>
    <cellStyle name="Comma 3" xfId="5" xr:uid="{00000000-0005-0000-0000-00003C000000}"/>
    <cellStyle name="Comma 3 2" xfId="27" xr:uid="{00000000-0005-0000-0000-00003D000000}"/>
    <cellStyle name="Comma 3 2 2" xfId="63" xr:uid="{00000000-0005-0000-0000-00003E000000}"/>
    <cellStyle name="Comma 3 2 2 5" xfId="267" xr:uid="{00000000-0005-0000-0000-00003F000000}"/>
    <cellStyle name="Comma 3 2 3" xfId="120" xr:uid="{00000000-0005-0000-0000-000040000000}"/>
    <cellStyle name="Comma 3 2 4" xfId="156" xr:uid="{00000000-0005-0000-0000-000041000000}"/>
    <cellStyle name="Comma 3 2 5" xfId="178" xr:uid="{00000000-0005-0000-0000-000042000000}"/>
    <cellStyle name="Comma 3 2 6" xfId="253" xr:uid="{00000000-0005-0000-0000-000043000000}"/>
    <cellStyle name="Comma 3 3" xfId="66" xr:uid="{00000000-0005-0000-0000-000044000000}"/>
    <cellStyle name="Comma 3 3 2" xfId="121" xr:uid="{00000000-0005-0000-0000-000045000000}"/>
    <cellStyle name="Comma 3 3 3" xfId="157" xr:uid="{00000000-0005-0000-0000-000046000000}"/>
    <cellStyle name="Comma 3 3 4" xfId="179" xr:uid="{00000000-0005-0000-0000-000047000000}"/>
    <cellStyle name="Comma 3 3 5" xfId="254" xr:uid="{00000000-0005-0000-0000-000048000000}"/>
    <cellStyle name="Comma 3 4" xfId="72" xr:uid="{00000000-0005-0000-0000-000049000000}"/>
    <cellStyle name="Comma 3 4 2" xfId="280" xr:uid="{439528EA-D3FD-41C9-8280-AB7B24C4527B}"/>
    <cellStyle name="Comma 3 5" xfId="119" xr:uid="{00000000-0005-0000-0000-00004A000000}"/>
    <cellStyle name="Comma 3 6" xfId="155" xr:uid="{00000000-0005-0000-0000-00004B000000}"/>
    <cellStyle name="Comma 3 7" xfId="177" xr:uid="{00000000-0005-0000-0000-00004C000000}"/>
    <cellStyle name="Comma 3 8" xfId="252" xr:uid="{00000000-0005-0000-0000-00004D000000}"/>
    <cellStyle name="Comma 4" xfId="50" xr:uid="{00000000-0005-0000-0000-00004E000000}"/>
    <cellStyle name="Comma 4 2" xfId="73" xr:uid="{00000000-0005-0000-0000-00004F000000}"/>
    <cellStyle name="Comma 4 3" xfId="122" xr:uid="{00000000-0005-0000-0000-000050000000}"/>
    <cellStyle name="Comma 4 4" xfId="158" xr:uid="{00000000-0005-0000-0000-000051000000}"/>
    <cellStyle name="Comma 4 5" xfId="180" xr:uid="{00000000-0005-0000-0000-000052000000}"/>
    <cellStyle name="Comma 4 6" xfId="255" xr:uid="{00000000-0005-0000-0000-000053000000}"/>
    <cellStyle name="Comma 5" xfId="74" xr:uid="{00000000-0005-0000-0000-000054000000}"/>
    <cellStyle name="Comma 5 2" xfId="124" xr:uid="{00000000-0005-0000-0000-000055000000}"/>
    <cellStyle name="Comma 5 2 2" xfId="170" xr:uid="{00000000-0005-0000-0000-000056000000}"/>
    <cellStyle name="Comma 5 2 3" xfId="183" xr:uid="{00000000-0005-0000-0000-000057000000}"/>
    <cellStyle name="Comma 5 3" xfId="123" xr:uid="{00000000-0005-0000-0000-000058000000}"/>
    <cellStyle name="Comma 5 4" xfId="159" xr:uid="{00000000-0005-0000-0000-000059000000}"/>
    <cellStyle name="Comma 5 5" xfId="181" xr:uid="{00000000-0005-0000-0000-00005A000000}"/>
    <cellStyle name="Comma 5 6" xfId="256" xr:uid="{00000000-0005-0000-0000-00005B000000}"/>
    <cellStyle name="Comma 6" xfId="75" xr:uid="{00000000-0005-0000-0000-00005C000000}"/>
    <cellStyle name="Comma 6 2" xfId="125" xr:uid="{00000000-0005-0000-0000-00005D000000}"/>
    <cellStyle name="Comma 6 3" xfId="160" xr:uid="{00000000-0005-0000-0000-00005E000000}"/>
    <cellStyle name="Comma 6 4" xfId="182" xr:uid="{00000000-0005-0000-0000-00005F000000}"/>
    <cellStyle name="Comma 6 5" xfId="257" xr:uid="{00000000-0005-0000-0000-000060000000}"/>
    <cellStyle name="Comma 7" xfId="68" xr:uid="{00000000-0005-0000-0000-000061000000}"/>
    <cellStyle name="Comma 8" xfId="152" xr:uid="{00000000-0005-0000-0000-000062000000}"/>
    <cellStyle name="Comma 9" xfId="174" xr:uid="{00000000-0005-0000-0000-000063000000}"/>
    <cellStyle name="Currency 2" xfId="221" xr:uid="{00000000-0005-0000-0000-000064000000}"/>
    <cellStyle name="Currency 3" xfId="222" xr:uid="{00000000-0005-0000-0000-000065000000}"/>
    <cellStyle name="Currency 4" xfId="223" xr:uid="{00000000-0005-0000-0000-000066000000}"/>
    <cellStyle name="Currency 5" xfId="224" xr:uid="{00000000-0005-0000-0000-000067000000}"/>
    <cellStyle name="Currency 6" xfId="225" xr:uid="{00000000-0005-0000-0000-000068000000}"/>
    <cellStyle name="Currency 7" xfId="226" xr:uid="{00000000-0005-0000-0000-000069000000}"/>
    <cellStyle name="Currency 8" xfId="227" xr:uid="{00000000-0005-0000-0000-00006A000000}"/>
    <cellStyle name="Euro" xfId="31" xr:uid="{00000000-0005-0000-0000-00006B000000}"/>
    <cellStyle name="Euro 2" xfId="76" xr:uid="{00000000-0005-0000-0000-00006C000000}"/>
    <cellStyle name="Explanatory Text 2" xfId="228" xr:uid="{00000000-0005-0000-0000-00006D000000}"/>
    <cellStyle name="Good 2" xfId="229" xr:uid="{00000000-0005-0000-0000-00006E000000}"/>
    <cellStyle name="Heading 1 2" xfId="230" xr:uid="{00000000-0005-0000-0000-00006F000000}"/>
    <cellStyle name="Heading 2 2" xfId="231" xr:uid="{00000000-0005-0000-0000-000070000000}"/>
    <cellStyle name="Heading 3 2" xfId="232" xr:uid="{00000000-0005-0000-0000-000071000000}"/>
    <cellStyle name="Heading 4 2" xfId="233" xr:uid="{00000000-0005-0000-0000-000072000000}"/>
    <cellStyle name="Hyperlink" xfId="62" builtinId="8"/>
    <cellStyle name="Hyperlink 10" xfId="149" xr:uid="{00000000-0005-0000-0000-000074000000}"/>
    <cellStyle name="Hyperlink 10 2" xfId="279" xr:uid="{20E54E0D-4344-4C61-A985-D5953816F4FF}"/>
    <cellStyle name="Hyperlink 11" xfId="192" xr:uid="{00000000-0005-0000-0000-000075000000}"/>
    <cellStyle name="Hyperlink 12" xfId="288" xr:uid="{C4F4708F-8DEB-4784-BDF0-022CF2814328}"/>
    <cellStyle name="Hyperlink 2" xfId="8" xr:uid="{00000000-0005-0000-0000-000076000000}"/>
    <cellStyle name="Hyperlink 2 2" xfId="25" xr:uid="{00000000-0005-0000-0000-000077000000}"/>
    <cellStyle name="Hyperlink 2 3" xfId="77" xr:uid="{00000000-0005-0000-0000-000078000000}"/>
    <cellStyle name="Hyperlink 2 3 2" xfId="80" xr:uid="{00000000-0005-0000-0000-000079000000}"/>
    <cellStyle name="Hyperlink 2 4" xfId="283" xr:uid="{2A3A69E4-0D17-4DCB-92BA-0CBBB68A5C20}"/>
    <cellStyle name="Hyperlink 2_Sheet1" xfId="51" xr:uid="{00000000-0005-0000-0000-00007A000000}"/>
    <cellStyle name="Hyperlink 3" xfId="52" xr:uid="{00000000-0005-0000-0000-00007B000000}"/>
    <cellStyle name="Hyperlink 3 2" xfId="79" xr:uid="{00000000-0005-0000-0000-00007C000000}"/>
    <cellStyle name="Hyperlink 3 2 2" xfId="100" xr:uid="{00000000-0005-0000-0000-00007D000000}"/>
    <cellStyle name="Hyperlink 3 3" xfId="78" xr:uid="{00000000-0005-0000-0000-00007E000000}"/>
    <cellStyle name="Hyperlink 4" xfId="53" xr:uid="{00000000-0005-0000-0000-00007F000000}"/>
    <cellStyle name="Hyperlink 5" xfId="54" xr:uid="{00000000-0005-0000-0000-000080000000}"/>
    <cellStyle name="Hyperlink 5 2" xfId="81" xr:uid="{00000000-0005-0000-0000-000081000000}"/>
    <cellStyle name="Hyperlink 6" xfId="55" xr:uid="{00000000-0005-0000-0000-000082000000}"/>
    <cellStyle name="Hyperlink 6 2" xfId="82" xr:uid="{00000000-0005-0000-0000-000083000000}"/>
    <cellStyle name="Hyperlink 7" xfId="131" xr:uid="{00000000-0005-0000-0000-000084000000}"/>
    <cellStyle name="Hyperlink 8" xfId="150" xr:uid="{00000000-0005-0000-0000-000085000000}"/>
    <cellStyle name="Hyperlink 9" xfId="148" xr:uid="{00000000-0005-0000-0000-000086000000}"/>
    <cellStyle name="IABackgroundMembers" xfId="32" xr:uid="{00000000-0005-0000-0000-000087000000}"/>
    <cellStyle name="IABackgroundMembers 2" xfId="83" xr:uid="{00000000-0005-0000-0000-000088000000}"/>
    <cellStyle name="IAColorCodingBad" xfId="33" xr:uid="{00000000-0005-0000-0000-000089000000}"/>
    <cellStyle name="IAColorCodingBad 2" xfId="84" xr:uid="{00000000-0005-0000-0000-00008A000000}"/>
    <cellStyle name="IAColorCodingGood" xfId="34" xr:uid="{00000000-0005-0000-0000-00008B000000}"/>
    <cellStyle name="IAColorCodingGood 2" xfId="85" xr:uid="{00000000-0005-0000-0000-00008C000000}"/>
    <cellStyle name="IAColorCodingOK" xfId="35" xr:uid="{00000000-0005-0000-0000-00008D000000}"/>
    <cellStyle name="IAColorCodingOK 2" xfId="86" xr:uid="{00000000-0005-0000-0000-00008E000000}"/>
    <cellStyle name="IAColumnHeader" xfId="36" xr:uid="{00000000-0005-0000-0000-00008F000000}"/>
    <cellStyle name="IAColumnHeader 2" xfId="87" xr:uid="{00000000-0005-0000-0000-000090000000}"/>
    <cellStyle name="IAContentsList" xfId="37" xr:uid="{00000000-0005-0000-0000-000091000000}"/>
    <cellStyle name="IAContentsList 2" xfId="88" xr:uid="{00000000-0005-0000-0000-000092000000}"/>
    <cellStyle name="IAContentsList 3" xfId="258" xr:uid="{00000000-0005-0000-0000-000093000000}"/>
    <cellStyle name="IAContentsTitle" xfId="38" xr:uid="{00000000-0005-0000-0000-000094000000}"/>
    <cellStyle name="IAContentsTitle 2" xfId="89" xr:uid="{00000000-0005-0000-0000-000095000000}"/>
    <cellStyle name="IAContentsTitle 3" xfId="259" xr:uid="{00000000-0005-0000-0000-000096000000}"/>
    <cellStyle name="IADataCells" xfId="39" xr:uid="{00000000-0005-0000-0000-000097000000}"/>
    <cellStyle name="IADataCells 2" xfId="90" xr:uid="{00000000-0005-0000-0000-000098000000}"/>
    <cellStyle name="IADimensionNames" xfId="40" xr:uid="{00000000-0005-0000-0000-000099000000}"/>
    <cellStyle name="IADimensionNames 2" xfId="91" xr:uid="{00000000-0005-0000-0000-00009A000000}"/>
    <cellStyle name="IAParentColumnHeader" xfId="41" xr:uid="{00000000-0005-0000-0000-00009B000000}"/>
    <cellStyle name="IAParentColumnHeader 2" xfId="92" xr:uid="{00000000-0005-0000-0000-00009C000000}"/>
    <cellStyle name="IAParentRowHeader" xfId="42" xr:uid="{00000000-0005-0000-0000-00009D000000}"/>
    <cellStyle name="IAParentRowHeader 2" xfId="93" xr:uid="{00000000-0005-0000-0000-00009E000000}"/>
    <cellStyle name="IAQueryInfo" xfId="43" xr:uid="{00000000-0005-0000-0000-00009F000000}"/>
    <cellStyle name="IAQueryInfo 2" xfId="94" xr:uid="{00000000-0005-0000-0000-0000A0000000}"/>
    <cellStyle name="IAReportTitle" xfId="44" xr:uid="{00000000-0005-0000-0000-0000A1000000}"/>
    <cellStyle name="IAReportTitle 2" xfId="95" xr:uid="{00000000-0005-0000-0000-0000A2000000}"/>
    <cellStyle name="IARowHeader" xfId="45" xr:uid="{00000000-0005-0000-0000-0000A3000000}"/>
    <cellStyle name="IARowHeader 2" xfId="96" xr:uid="{00000000-0005-0000-0000-0000A4000000}"/>
    <cellStyle name="IASubTotalsCol" xfId="46" xr:uid="{00000000-0005-0000-0000-0000A5000000}"/>
    <cellStyle name="IASubTotalsCol 2" xfId="97" xr:uid="{00000000-0005-0000-0000-0000A6000000}"/>
    <cellStyle name="IASubTotalsRow" xfId="47" xr:uid="{00000000-0005-0000-0000-0000A7000000}"/>
    <cellStyle name="IASubTotalsRow 2" xfId="98" xr:uid="{00000000-0005-0000-0000-0000A8000000}"/>
    <cellStyle name="Input 2" xfId="234" xr:uid="{00000000-0005-0000-0000-0000A9000000}"/>
    <cellStyle name="Linked Cell 2" xfId="235" xr:uid="{00000000-0005-0000-0000-0000AA000000}"/>
    <cellStyle name="Neutral 2" xfId="236" xr:uid="{00000000-0005-0000-0000-0000AB000000}"/>
    <cellStyle name="Normal" xfId="0" builtinId="0"/>
    <cellStyle name="Normal 10" xfId="99" xr:uid="{00000000-0005-0000-0000-0000AD000000}"/>
    <cellStyle name="Normal 10 2" xfId="163" xr:uid="{00000000-0005-0000-0000-0000AE000000}"/>
    <cellStyle name="Normal 10 3" xfId="260" xr:uid="{00000000-0005-0000-0000-0000AF000000}"/>
    <cellStyle name="Normal 10 3 2" xfId="290" xr:uid="{FCD489EB-702B-4662-B07A-D676E098A896}"/>
    <cellStyle name="Normal 11" xfId="67" xr:uid="{00000000-0005-0000-0000-0000B0000000}"/>
    <cellStyle name="Normal 11 2" xfId="126" xr:uid="{00000000-0005-0000-0000-0000B1000000}"/>
    <cellStyle name="Normal 11 3" xfId="269" xr:uid="{00000000-0005-0000-0000-0000B2000000}"/>
    <cellStyle name="Normal 12" xfId="127" xr:uid="{00000000-0005-0000-0000-0000B3000000}"/>
    <cellStyle name="Normal 13" xfId="151" xr:uid="{00000000-0005-0000-0000-0000B4000000}"/>
    <cellStyle name="Normal 14" xfId="172" xr:uid="{00000000-0005-0000-0000-0000B5000000}"/>
    <cellStyle name="Normal 14 2" xfId="128" xr:uid="{00000000-0005-0000-0000-0000B6000000}"/>
    <cellStyle name="Normal 14 2 2" xfId="161" xr:uid="{00000000-0005-0000-0000-0000B7000000}"/>
    <cellStyle name="Normal 14 2 3" xfId="173" xr:uid="{00000000-0005-0000-0000-0000B8000000}"/>
    <cellStyle name="Normal 14 3" xfId="268" xr:uid="{00000000-0005-0000-0000-0000B9000000}"/>
    <cellStyle name="Normal 15" xfId="245" xr:uid="{00000000-0005-0000-0000-0000BA000000}"/>
    <cellStyle name="Normal 15 2" xfId="272" xr:uid="{00000000-0005-0000-0000-0000BB000000}"/>
    <cellStyle name="Normal 16" xfId="248" xr:uid="{00000000-0005-0000-0000-0000BC000000}"/>
    <cellStyle name="Normal 16 2" xfId="271" xr:uid="{00000000-0005-0000-0000-0000BD000000}"/>
    <cellStyle name="Normal 17" xfId="284" xr:uid="{5527D1CB-9452-4289-8220-C105A377CE25}"/>
    <cellStyle name="Normal 2" xfId="4" xr:uid="{00000000-0005-0000-0000-0000BE000000}"/>
    <cellStyle name="Normal 2 2" xfId="21" xr:uid="{00000000-0005-0000-0000-0000BF000000}"/>
    <cellStyle name="Normal 2 2 2" xfId="57" xr:uid="{00000000-0005-0000-0000-0000C0000000}"/>
    <cellStyle name="Normal 2 2 2 2" xfId="101" xr:uid="{00000000-0005-0000-0000-0000C1000000}"/>
    <cellStyle name="Normal 2 2 2 2 3" xfId="133" xr:uid="{00000000-0005-0000-0000-0000C2000000}"/>
    <cellStyle name="Normal 2 2 2 3" xfId="134" xr:uid="{00000000-0005-0000-0000-0000C3000000}"/>
    <cellStyle name="Normal 2 2 3" xfId="277" xr:uid="{8FE4ABEF-28F0-4B97-BDD3-A3CE018FF781}"/>
    <cellStyle name="Normal 2 3" xfId="26" xr:uid="{00000000-0005-0000-0000-0000C4000000}"/>
    <cellStyle name="Normal 2 3 2" xfId="103" xr:uid="{00000000-0005-0000-0000-0000C5000000}"/>
    <cellStyle name="Normal 2 3 2 2" xfId="164" xr:uid="{00000000-0005-0000-0000-0000C6000000}"/>
    <cellStyle name="Normal 2 3 2 3" xfId="185" xr:uid="{00000000-0005-0000-0000-0000C7000000}"/>
    <cellStyle name="Normal 2 3 2 4" xfId="261" xr:uid="{00000000-0005-0000-0000-0000C8000000}"/>
    <cellStyle name="Normal 2 3 2 5" xfId="270" xr:uid="{00000000-0005-0000-0000-0000C9000000}"/>
    <cellStyle name="Normal 2 3 3" xfId="102" xr:uid="{00000000-0005-0000-0000-0000CA000000}"/>
    <cellStyle name="Normal 2 3 4" xfId="135" xr:uid="{00000000-0005-0000-0000-0000CB000000}"/>
    <cellStyle name="Normal 2 4" xfId="58" xr:uid="{00000000-0005-0000-0000-0000CC000000}"/>
    <cellStyle name="Normal 2_Sheet1" xfId="56" xr:uid="{00000000-0005-0000-0000-0000CD000000}"/>
    <cellStyle name="Normal 24" xfId="276" xr:uid="{6FE60ED5-EA72-4F58-8ED6-3E264A98FD4F}"/>
    <cellStyle name="Normal 26" xfId="287" xr:uid="{3304FBEC-9F05-4431-929D-47CCC7BCBE73}"/>
    <cellStyle name="Normal 28" xfId="278" xr:uid="{344726A3-58F3-4FA9-8D2B-BE7E2A31C360}"/>
    <cellStyle name="Normal 3" xfId="7" xr:uid="{00000000-0005-0000-0000-0000CE000000}"/>
    <cellStyle name="Normal 3 2" xfId="60" xr:uid="{00000000-0005-0000-0000-0000CF000000}"/>
    <cellStyle name="Normal 3 2 2" xfId="136" xr:uid="{00000000-0005-0000-0000-0000D0000000}"/>
    <cellStyle name="Normal 3 2 3" xfId="137" xr:uid="{00000000-0005-0000-0000-0000D1000000}"/>
    <cellStyle name="Normal 3 3" xfId="104" xr:uid="{00000000-0005-0000-0000-0000D2000000}"/>
    <cellStyle name="Normal 3 3 2" xfId="139" xr:uid="{00000000-0005-0000-0000-0000D3000000}"/>
    <cellStyle name="Normal 3 3 2 2" xfId="162" xr:uid="{00000000-0005-0000-0000-0000D4000000}"/>
    <cellStyle name="Normal 3 3 2 3" xfId="191" xr:uid="{00000000-0005-0000-0000-0000D5000000}"/>
    <cellStyle name="Normal 3 3 3" xfId="138" xr:uid="{00000000-0005-0000-0000-0000D6000000}"/>
    <cellStyle name="Normal 3_Sheet1" xfId="59" xr:uid="{00000000-0005-0000-0000-0000D7000000}"/>
    <cellStyle name="Normal 4" xfId="22" xr:uid="{00000000-0005-0000-0000-0000D8000000}"/>
    <cellStyle name="Normal 4 2" xfId="106" xr:uid="{00000000-0005-0000-0000-0000D9000000}"/>
    <cellStyle name="Normal 4 2 2" xfId="281" xr:uid="{A8B92727-71D2-4399-8615-DB58FE63D4CA}"/>
    <cellStyle name="Normal 4 3" xfId="105" xr:uid="{00000000-0005-0000-0000-0000DA000000}"/>
    <cellStyle name="Normal 4 4" xfId="140" xr:uid="{00000000-0005-0000-0000-0000DB000000}"/>
    <cellStyle name="Normal 4 5" xfId="237" xr:uid="{00000000-0005-0000-0000-0000DC000000}"/>
    <cellStyle name="Normal 4 5 2" xfId="289" xr:uid="{BA44E333-6F0C-41D5-ACC8-97F9CA6196D1}"/>
    <cellStyle name="Normal 5" xfId="61" xr:uid="{00000000-0005-0000-0000-0000DD000000}"/>
    <cellStyle name="Normal 5 2" xfId="107" xr:uid="{00000000-0005-0000-0000-0000DE000000}"/>
    <cellStyle name="Normal 5 3" xfId="141" xr:uid="{00000000-0005-0000-0000-0000DF000000}"/>
    <cellStyle name="Normal 5 4" xfId="165" xr:uid="{00000000-0005-0000-0000-0000E0000000}"/>
    <cellStyle name="Normal 5 5" xfId="186" xr:uid="{00000000-0005-0000-0000-0000E1000000}"/>
    <cellStyle name="Normal 5 6" xfId="262" xr:uid="{00000000-0005-0000-0000-0000E2000000}"/>
    <cellStyle name="Normal 6" xfId="108" xr:uid="{00000000-0005-0000-0000-0000E3000000}"/>
    <cellStyle name="Normal 6 2" xfId="109" xr:uid="{00000000-0005-0000-0000-0000E4000000}"/>
    <cellStyle name="Normal 6 3" xfId="142" xr:uid="{00000000-0005-0000-0000-0000E5000000}"/>
    <cellStyle name="Normal 6 4" xfId="166" xr:uid="{00000000-0005-0000-0000-0000E6000000}"/>
    <cellStyle name="Normal 6 5" xfId="187" xr:uid="{00000000-0005-0000-0000-0000E7000000}"/>
    <cellStyle name="Normal 6 6" xfId="263" xr:uid="{00000000-0005-0000-0000-0000E8000000}"/>
    <cellStyle name="Normal 7" xfId="110" xr:uid="{00000000-0005-0000-0000-0000E9000000}"/>
    <cellStyle name="Normal 7 2" xfId="111" xr:uid="{00000000-0005-0000-0000-0000EA000000}"/>
    <cellStyle name="Normal 7 3" xfId="286" xr:uid="{D3D01412-D1A9-4625-858C-7E662B39A905}"/>
    <cellStyle name="Normal 8" xfId="112" xr:uid="{00000000-0005-0000-0000-0000EB000000}"/>
    <cellStyle name="Normal 8 2" xfId="143" xr:uid="{00000000-0005-0000-0000-0000EC000000}"/>
    <cellStyle name="Normal 8 2 2" xfId="167" xr:uid="{00000000-0005-0000-0000-0000ED000000}"/>
    <cellStyle name="Normal 8 2 3" xfId="188" xr:uid="{00000000-0005-0000-0000-0000EE000000}"/>
    <cellStyle name="Normal 8 2 4" xfId="264" xr:uid="{00000000-0005-0000-0000-0000EF000000}"/>
    <cellStyle name="Normal 9" xfId="113" xr:uid="{00000000-0005-0000-0000-0000F0000000}"/>
    <cellStyle name="Normal_C497TABS" xfId="24" xr:uid="{00000000-0005-0000-0000-0000F1000000}"/>
    <cellStyle name="Normal_Knife possession 485_12" xfId="29" xr:uid="{00000000-0005-0000-0000-0000F2000000}"/>
    <cellStyle name="Normal_Sheet1" xfId="275" xr:uid="{00000000-0005-0000-0000-0000F3000000}"/>
    <cellStyle name="Note 2" xfId="23" xr:uid="{00000000-0005-0000-0000-0000F4000000}"/>
    <cellStyle name="Note 3" xfId="238" xr:uid="{00000000-0005-0000-0000-0000F5000000}"/>
    <cellStyle name="Output 2" xfId="239" xr:uid="{00000000-0005-0000-0000-0000F6000000}"/>
    <cellStyle name="Per cent" xfId="3" builtinId="5"/>
    <cellStyle name="Percent 10" xfId="282" xr:uid="{BFCA23E2-558A-4C92-9263-9C3D30B259B0}"/>
    <cellStyle name="Percent 2" xfId="6" xr:uid="{00000000-0005-0000-0000-0000F8000000}"/>
    <cellStyle name="Percent 2 2" xfId="28" xr:uid="{00000000-0005-0000-0000-0000F9000000}"/>
    <cellStyle name="Percent 2 2 2" xfId="114" xr:uid="{00000000-0005-0000-0000-0000FA000000}"/>
    <cellStyle name="Percent 2 3" xfId="144" xr:uid="{00000000-0005-0000-0000-0000FB000000}"/>
    <cellStyle name="Percent 3" xfId="30" xr:uid="{00000000-0005-0000-0000-0000FC000000}"/>
    <cellStyle name="Percent 3 2" xfId="115" xr:uid="{00000000-0005-0000-0000-0000FD000000}"/>
    <cellStyle name="Percent 3 2 2" xfId="291" xr:uid="{4E22F626-73F9-4D33-9163-663638F28955}"/>
    <cellStyle name="Percent 3 3" xfId="240" xr:uid="{00000000-0005-0000-0000-0000FE000000}"/>
    <cellStyle name="Percent 4" xfId="116" xr:uid="{00000000-0005-0000-0000-0000FF000000}"/>
    <cellStyle name="Percent 4 2" xfId="145" xr:uid="{00000000-0005-0000-0000-000000010000}"/>
    <cellStyle name="Percent 4 3" xfId="241" xr:uid="{00000000-0005-0000-0000-000001010000}"/>
    <cellStyle name="Percent 4 3 2 2 2" xfId="65" xr:uid="{00000000-0005-0000-0000-000002010000}"/>
    <cellStyle name="Percent 4 7" xfId="146" xr:uid="{00000000-0005-0000-0000-000003010000}"/>
    <cellStyle name="Percent 5" xfId="147" xr:uid="{00000000-0005-0000-0000-000004010000}"/>
    <cellStyle name="Percent 5 2" xfId="169" xr:uid="{00000000-0005-0000-0000-000005010000}"/>
    <cellStyle name="Percent 5 2 2 2 2" xfId="64" xr:uid="{00000000-0005-0000-0000-000006010000}"/>
    <cellStyle name="Percent 5 3" xfId="190" xr:uid="{00000000-0005-0000-0000-000007010000}"/>
    <cellStyle name="Percent 5 4" xfId="266" xr:uid="{00000000-0005-0000-0000-000008010000}"/>
    <cellStyle name="Percent 6" xfId="168" xr:uid="{00000000-0005-0000-0000-000009010000}"/>
    <cellStyle name="Percent 7" xfId="189" xr:uid="{00000000-0005-0000-0000-00000A010000}"/>
    <cellStyle name="Percent 8" xfId="247" xr:uid="{00000000-0005-0000-0000-00000B010000}"/>
    <cellStyle name="Percent 8 2" xfId="274" xr:uid="{00000000-0005-0000-0000-00000C010000}"/>
    <cellStyle name="Percent 9" xfId="265" xr:uid="{00000000-0005-0000-0000-00000D010000}"/>
    <cellStyle name="Refdb standard" xfId="48" xr:uid="{00000000-0005-0000-0000-00000E010000}"/>
    <cellStyle name="Refdb standard 2" xfId="117" xr:uid="{00000000-0005-0000-0000-00000F010000}"/>
    <cellStyle name="Title 2" xfId="242" xr:uid="{00000000-0005-0000-0000-000010010000}"/>
    <cellStyle name="Total 2" xfId="243" xr:uid="{00000000-0005-0000-0000-000011010000}"/>
    <cellStyle name="Undefined" xfId="118" xr:uid="{00000000-0005-0000-0000-000012010000}"/>
    <cellStyle name="Warning Text 2" xfId="244" xr:uid="{00000000-0005-0000-0000-000013010000}"/>
  </cellStyles>
  <dxfs count="0"/>
  <tableStyles count="0" defaultTableStyle="TableStyleMedium9" defaultPivotStyle="PivotStyleLight16"/>
  <colors>
    <mruColors>
      <color rgb="FF36845B"/>
      <color rgb="FF3684C6"/>
      <color rgb="FFA3D9BC"/>
      <color rgb="FFE7E6E6"/>
      <color rgb="FF90909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 Type="http://schemas.openxmlformats.org/officeDocument/2006/relationships/worksheet" Target="worksheets/sheet3.xml"/><Relationship Id="rId21" Type="http://schemas.openxmlformats.org/officeDocument/2006/relationships/externalLink" Target="externalLinks/externalLink6.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770564353330342E-2"/>
          <c:y val="0.43925740712952549"/>
          <c:w val="0.94810893866987367"/>
          <c:h val="0.52725965316663648"/>
        </c:manualLayout>
      </c:layout>
      <c:barChart>
        <c:barDir val="col"/>
        <c:grouping val="clustered"/>
        <c:varyColors val="0"/>
        <c:ser>
          <c:idx val="0"/>
          <c:order val="0"/>
          <c:spPr>
            <a:ln>
              <a:solidFill>
                <a:schemeClr val="bg1">
                  <a:lumMod val="65000"/>
                </a:schemeClr>
              </a:solidFill>
            </a:ln>
          </c:spPr>
          <c:invertIfNegative val="0"/>
          <c:dLbls>
            <c:spPr>
              <a:noFill/>
              <a:ln>
                <a:noFill/>
              </a:ln>
              <a:effectLst/>
            </c:spPr>
            <c:txPr>
              <a:bodyPr wrap="square" lIns="38100" tIns="19050" rIns="38100" bIns="19050" anchor="ctr">
                <a:spAutoFit/>
              </a:bodyPr>
              <a:lstStyle/>
              <a:p>
                <a:pPr>
                  <a:defRPr sz="11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FE0A-45AC-9E90-9CDFC93950D4}"/>
            </c:ext>
          </c:extLst>
        </c:ser>
        <c:dLbls>
          <c:showLegendKey val="0"/>
          <c:showVal val="0"/>
          <c:showCatName val="0"/>
          <c:showSerName val="0"/>
          <c:showPercent val="0"/>
          <c:showBubbleSize val="0"/>
        </c:dLbls>
        <c:gapWidth val="20"/>
        <c:overlap val="-27"/>
        <c:axId val="631526728"/>
        <c:axId val="631527712"/>
      </c:barChart>
      <c:catAx>
        <c:axId val="631526728"/>
        <c:scaling>
          <c:orientation val="minMax"/>
        </c:scaling>
        <c:delete val="0"/>
        <c:axPos val="b"/>
        <c:numFmt formatCode="General" sourceLinked="1"/>
        <c:majorTickMark val="out"/>
        <c:minorTickMark val="none"/>
        <c:tickLblPos val="high"/>
        <c:spPr>
          <a:noFill/>
          <a:ln w="9525" cap="flat" cmpd="sng" algn="ctr">
            <a:solidFill>
              <a:schemeClr val="bg1">
                <a:lumMod val="65000"/>
              </a:schemeClr>
            </a:solidFill>
            <a:round/>
          </a:ln>
          <a:effectLst/>
        </c:spPr>
        <c:txPr>
          <a:bodyPr rot="0" spcFirstLastPara="1" vertOverflow="ellipsis" wrap="square" anchor="ctr" anchorCtr="1"/>
          <a:lstStyle/>
          <a:p>
            <a:pPr>
              <a:defRPr sz="9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31527712"/>
        <c:crosses val="autoZero"/>
        <c:auto val="1"/>
        <c:lblAlgn val="ctr"/>
        <c:lblOffset val="100"/>
        <c:tickLblSkip val="1"/>
        <c:noMultiLvlLbl val="0"/>
      </c:catAx>
      <c:valAx>
        <c:axId val="631527712"/>
        <c:scaling>
          <c:orientation val="minMax"/>
        </c:scaling>
        <c:delete val="1"/>
        <c:axPos val="l"/>
        <c:numFmt formatCode="General" sourceLinked="1"/>
        <c:majorTickMark val="none"/>
        <c:minorTickMark val="none"/>
        <c:tickLblPos val="nextTo"/>
        <c:crossAx val="631526728"/>
        <c:crosses val="autoZero"/>
        <c:crossBetween val="between"/>
      </c:valAx>
      <c:spPr>
        <a:solidFill>
          <a:schemeClr val="bg2"/>
        </a:solidFill>
        <a:ln>
          <a:noFill/>
        </a:ln>
      </c:spPr>
    </c:plotArea>
    <c:plotVisOnly val="1"/>
    <c:dispBlanksAs val="gap"/>
    <c:showDLblsOverMax val="0"/>
    <c:extLst/>
  </c:chart>
  <c:spPr>
    <a:solidFill>
      <a:schemeClr val="bg2"/>
    </a:solidFill>
    <a:ln>
      <a:noFill/>
    </a:ln>
  </c:spPr>
  <c:txPr>
    <a:bodyPr/>
    <a:lstStyle/>
    <a:p>
      <a:pPr>
        <a:defRPr/>
      </a:pPr>
      <a:endParaRPr lang="en-US"/>
    </a:p>
  </c:txPr>
  <c:printSettings>
    <c:headerFooter/>
    <c:pageMargins b="0.75" l="0.7" r="0.7" t="0.75" header="0.3" footer="0.3"/>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13156104752277"/>
          <c:y val="0.19970163251801445"/>
          <c:w val="0.74296650160487088"/>
          <c:h val="0.69235539967407445"/>
        </c:manualLayout>
      </c:layout>
      <c:lineChart>
        <c:grouping val="standard"/>
        <c:varyColors val="0"/>
        <c:ser>
          <c:idx val="0"/>
          <c:order val="0"/>
          <c:tx>
            <c:strRef>
              <c:f>'Table 5'!$Q$6</c:f>
              <c:strCache>
                <c:ptCount val="1"/>
                <c:pt idx="0">
                  <c:v>Caution</c:v>
                </c:pt>
              </c:strCache>
            </c:strRef>
          </c:tx>
          <c:spPr>
            <a:ln w="28575" cap="rnd">
              <a:solidFill>
                <a:schemeClr val="accent1"/>
              </a:solidFill>
              <a:round/>
            </a:ln>
            <a:effectLst/>
          </c:spPr>
          <c:marker>
            <c:symbol val="none"/>
          </c:marker>
          <c:dLbls>
            <c:dLbl>
              <c:idx val="56"/>
              <c:layout>
                <c:manualLayout>
                  <c:x val="4.8835537036179134E-2"/>
                  <c:y val="3.1706447671184995E-2"/>
                </c:manualLayout>
              </c:layout>
              <c:tx>
                <c:rich>
                  <a:bodyPr/>
                  <a:lstStyle/>
                  <a:p>
                    <a:r>
                      <a:rPr lang="en-US" b="1">
                        <a:solidFill>
                          <a:schemeClr val="accent1"/>
                        </a:solidFill>
                        <a:latin typeface="Open Sans" panose="020B0606030504020204" pitchFamily="34" charset="0"/>
                        <a:ea typeface="Open Sans" panose="020B0606030504020204" pitchFamily="34" charset="0"/>
                        <a:cs typeface="Open Sans" panose="020B0606030504020204" pitchFamily="34" charset="0"/>
                      </a:rPr>
                      <a:t>Caution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6CF-4143-84D2-60A1B041C9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'Table 5'!$Q$8:$Q$68</c:f>
            </c:numRef>
          </c:val>
          <c:smooth val="0"/>
          <c:extLst>
            <c:ext xmlns:c15="http://schemas.microsoft.com/office/drawing/2012/chart" uri="{02D57815-91ED-43cb-92C2-25804820EDAC}">
              <c15:filteredCategoryTitle>
                <c15:cat>
                  <c:multiLvlStrRef>
                    <c:extLst>
                      <c:ext uri="{02D57815-91ED-43cb-92C2-25804820EDAC}">
                        <c15:formulaRef>
                          <c15:sqref>'Table 5'!$W$8:$W$68</c15:sqref>
                        </c15:formulaRef>
                      </c:ext>
                    </c:extLst>
                  </c:multiLvlStrRef>
                </c15:cat>
              </c15:filteredCategoryTitle>
            </c:ext>
            <c:ext xmlns:c16="http://schemas.microsoft.com/office/drawing/2014/chart" uri="{C3380CC4-5D6E-409C-BE32-E72D297353CC}">
              <c16:uniqueId val="{00000001-16CF-4143-84D2-60A1B041C936}"/>
            </c:ext>
          </c:extLst>
        </c:ser>
        <c:ser>
          <c:idx val="1"/>
          <c:order val="1"/>
          <c:tx>
            <c:strRef>
              <c:f>'Table 5'!$R$6</c:f>
              <c:strCache>
                <c:ptCount val="1"/>
                <c:pt idx="0">
                  <c:v>Immediate custody</c:v>
                </c:pt>
              </c:strCache>
            </c:strRef>
          </c:tx>
          <c:spPr>
            <a:ln w="28575" cap="rnd">
              <a:solidFill>
                <a:schemeClr val="accent2"/>
              </a:solidFill>
              <a:prstDash val="solid"/>
              <a:round/>
            </a:ln>
            <a:effectLst/>
          </c:spPr>
          <c:marker>
            <c:symbol val="none"/>
          </c:marker>
          <c:dLbls>
            <c:dLbl>
              <c:idx val="56"/>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b="1">
                        <a:solidFill>
                          <a:schemeClr val="accent2"/>
                        </a:solidFill>
                        <a:latin typeface="Open Sans" panose="020B0606030504020204" pitchFamily="34" charset="0"/>
                        <a:ea typeface="Open Sans" panose="020B0606030504020204" pitchFamily="34" charset="0"/>
                        <a:cs typeface="Open Sans" panose="020B0606030504020204" pitchFamily="34" charset="0"/>
                      </a:rPr>
                      <a:t>Immediate</a:t>
                    </a:r>
                    <a:r>
                      <a:rPr lang="en-US" b="1" baseline="0">
                        <a:solidFill>
                          <a:schemeClr val="accent2"/>
                        </a:solidFill>
                        <a:latin typeface="Open Sans" panose="020B0606030504020204" pitchFamily="34" charset="0"/>
                        <a:ea typeface="Open Sans" panose="020B0606030504020204" pitchFamily="34" charset="0"/>
                        <a:cs typeface="Open Sans" panose="020B0606030504020204" pitchFamily="34" charset="0"/>
                      </a:rPr>
                      <a:t> custody</a:t>
                    </a:r>
                    <a:endParaRPr lang="en-US" b="1">
                      <a:solidFill>
                        <a:schemeClr val="accent2"/>
                      </a:solidFill>
                      <a:latin typeface="Open Sans" panose="020B0606030504020204" pitchFamily="34" charset="0"/>
                      <a:ea typeface="Open Sans" panose="020B0606030504020204" pitchFamily="34" charset="0"/>
                      <a:cs typeface="Open Sans" panose="020B0606030504020204"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640118714118377"/>
                      <c:h val="0.11972720804339594"/>
                    </c:manualLayout>
                  </c15:layout>
                  <c15:showDataLabelsRange val="0"/>
                </c:ext>
                <c:ext xmlns:c16="http://schemas.microsoft.com/office/drawing/2014/chart" uri="{C3380CC4-5D6E-409C-BE32-E72D297353CC}">
                  <c16:uniqueId val="{00000002-16CF-4143-84D2-60A1B041C9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'Table 5'!$R$7:$R$68</c:f>
            </c:numRef>
          </c:val>
          <c:smooth val="0"/>
          <c:extLst>
            <c:ext xmlns:c15="http://schemas.microsoft.com/office/drawing/2012/chart" uri="{02D57815-91ED-43cb-92C2-25804820EDAC}">
              <c15:filteredCategoryTitle>
                <c15:cat>
                  <c:multiLvlStrRef>
                    <c:extLst>
                      <c:ext uri="{02D57815-91ED-43cb-92C2-25804820EDAC}">
                        <c15:formulaRef>
                          <c15:sqref>'Table 5'!$W$8:$W$68</c15:sqref>
                        </c15:formulaRef>
                      </c:ext>
                    </c:extLst>
                  </c:multiLvlStrRef>
                </c15:cat>
              </c15:filteredCategoryTitle>
            </c:ext>
            <c:ext xmlns:c16="http://schemas.microsoft.com/office/drawing/2014/chart" uri="{C3380CC4-5D6E-409C-BE32-E72D297353CC}">
              <c16:uniqueId val="{00000003-16CF-4143-84D2-60A1B041C936}"/>
            </c:ext>
          </c:extLst>
        </c:ser>
        <c:dLbls>
          <c:showLegendKey val="0"/>
          <c:showVal val="0"/>
          <c:showCatName val="0"/>
          <c:showSerName val="0"/>
          <c:showPercent val="0"/>
          <c:showBubbleSize val="0"/>
        </c:dLbls>
        <c:marker val="1"/>
        <c:smooth val="0"/>
        <c:axId val="708664040"/>
        <c:axId val="708664368"/>
      </c:lineChart>
      <c:dateAx>
        <c:axId val="708664040"/>
        <c:scaling>
          <c:orientation val="minMax"/>
        </c:scaling>
        <c:delete val="0"/>
        <c:axPos val="b"/>
        <c:numFmt formatCode="yyyy" sourceLinked="0"/>
        <c:majorTickMark val="out"/>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708664368"/>
        <c:crosses val="autoZero"/>
        <c:auto val="0"/>
        <c:lblOffset val="100"/>
        <c:baseTimeUnit val="days"/>
        <c:majorUnit val="2"/>
        <c:majorTimeUnit val="years"/>
        <c:minorUnit val="4"/>
      </c:dateAx>
      <c:valAx>
        <c:axId val="708664368"/>
        <c:scaling>
          <c:orientation val="minMax"/>
        </c:scaling>
        <c:delete val="0"/>
        <c:axPos val="l"/>
        <c:numFmt formatCode="0%" sourceLinked="1"/>
        <c:majorTickMark val="out"/>
        <c:minorTickMark val="none"/>
        <c:tickLblPos val="nextTo"/>
        <c:spPr>
          <a:noFill/>
          <a:ln>
            <a:solidFill>
              <a:schemeClr val="bg1">
                <a:lumMod val="65000"/>
              </a:schemeClr>
            </a:solidFill>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708664040"/>
        <c:crossesAt val="1"/>
        <c:crossBetween val="midCat"/>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485285246960788E-2"/>
          <c:y val="0.29680038087369909"/>
          <c:w val="0.88897228539551909"/>
          <c:h val="0.60301583356379451"/>
        </c:manualLayout>
      </c:layout>
      <c:lineChart>
        <c:grouping val="standard"/>
        <c:varyColors val="0"/>
        <c:ser>
          <c:idx val="0"/>
          <c:order val="0"/>
          <c:tx>
            <c:strRef>
              <c:f>'Table 5'!$X$6</c:f>
              <c:strCache>
                <c:ptCount val="1"/>
                <c:pt idx="0">
                  <c:v>TOTAL</c:v>
                </c:pt>
              </c:strCache>
            </c:strRef>
          </c:tx>
          <c:spPr>
            <a:ln w="28575" cap="rnd">
              <a:solidFill>
                <a:schemeClr val="accent1"/>
              </a:solidFill>
              <a:round/>
            </a:ln>
            <a:effectLst/>
          </c:spPr>
          <c:marker>
            <c:symbol val="none"/>
          </c:marker>
          <c:dPt>
            <c:idx val="41"/>
            <c:marker>
              <c:symbol val="none"/>
            </c:marker>
            <c:bubble3D val="0"/>
            <c:spPr>
              <a:ln w="28575" cap="rnd">
                <a:solidFill>
                  <a:schemeClr val="accent1"/>
                </a:solidFill>
                <a:round/>
              </a:ln>
              <a:effectLst/>
            </c:spPr>
            <c:extLst>
              <c:ext xmlns:c16="http://schemas.microsoft.com/office/drawing/2014/chart" uri="{C3380CC4-5D6E-409C-BE32-E72D297353CC}">
                <c16:uniqueId val="{00000001-A57A-4F20-8A29-2533EDCA0663}"/>
              </c:ext>
            </c:extLst>
          </c:dPt>
          <c:val>
            <c:numRef>
              <c:f>'Table 5'!$X$16:$X$68</c:f>
            </c:numRef>
          </c:val>
          <c:smooth val="0"/>
          <c:extLst>
            <c:ext xmlns:c15="http://schemas.microsoft.com/office/drawing/2012/chart" uri="{02D57815-91ED-43cb-92C2-25804820EDAC}">
              <c15:filteredCategoryTitle>
                <c15:cat>
                  <c:multiLvlStrRef>
                    <c:extLst>
                      <c:ext uri="{02D57815-91ED-43cb-92C2-25804820EDAC}">
                        <c15:formulaRef>
                          <c15:sqref>'Table 5'!$W$16:$W$68</c15:sqref>
                        </c15:formulaRef>
                      </c:ext>
                    </c:extLst>
                  </c:multiLvlStrRef>
                </c15:cat>
              </c15:filteredCategoryTitle>
            </c:ext>
            <c:ext xmlns:c16="http://schemas.microsoft.com/office/drawing/2014/chart" uri="{C3380CC4-5D6E-409C-BE32-E72D297353CC}">
              <c16:uniqueId val="{00000002-A57A-4F20-8A29-2533EDCA0663}"/>
            </c:ext>
          </c:extLst>
        </c:ser>
        <c:dLbls>
          <c:showLegendKey val="0"/>
          <c:showVal val="0"/>
          <c:showCatName val="0"/>
          <c:showSerName val="0"/>
          <c:showPercent val="0"/>
          <c:showBubbleSize val="0"/>
        </c:dLbls>
        <c:marker val="1"/>
        <c:smooth val="0"/>
        <c:axId val="646786680"/>
        <c:axId val="646784712"/>
      </c:lineChart>
      <c:dateAx>
        <c:axId val="646786680"/>
        <c:scaling>
          <c:orientation val="minMax"/>
        </c:scaling>
        <c:delete val="0"/>
        <c:axPos val="b"/>
        <c:numFmt formatCode="yyyy" sourceLinked="0"/>
        <c:majorTickMark val="out"/>
        <c:minorTickMark val="none"/>
        <c:tickLblPos val="low"/>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46784712"/>
        <c:crosses val="autoZero"/>
        <c:auto val="0"/>
        <c:lblOffset val="150"/>
        <c:baseTimeUnit val="months"/>
        <c:majorUnit val="2"/>
        <c:majorTimeUnit val="years"/>
        <c:minorUnit val="3"/>
        <c:minorTimeUnit val="months"/>
      </c:dateAx>
      <c:valAx>
        <c:axId val="646784712"/>
        <c:scaling>
          <c:orientation val="minMax"/>
          <c:max val="6000"/>
        </c:scaling>
        <c:delete val="0"/>
        <c:axPos val="l"/>
        <c:majorGridlines>
          <c:spPr>
            <a:ln w="9525" cap="flat" cmpd="sng" algn="ctr">
              <a:noFill/>
              <a:round/>
            </a:ln>
            <a:effectLst/>
          </c:spPr>
        </c:majorGridlines>
        <c:numFmt formatCode="#,##0" sourceLinked="0"/>
        <c:majorTickMark val="out"/>
        <c:minorTickMark val="none"/>
        <c:tickLblPos val="nextTo"/>
        <c:spPr>
          <a:noFill/>
          <a:ln>
            <a:solidFill>
              <a:schemeClr val="bg1">
                <a:lumMod val="65000"/>
              </a:schemeClr>
            </a:solidFill>
          </a:ln>
          <a:effectLst/>
        </c:spPr>
        <c:txPr>
          <a:bodyPr rot="-60000000" spcFirstLastPara="1" vertOverflow="ellipsis" vert="horz" wrap="square" anchor="ctr" anchorCtr="1"/>
          <a:lstStyle/>
          <a:p>
            <a:pPr>
              <a:defRPr sz="950" b="0"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46786680"/>
        <c:crosses val="autoZero"/>
        <c:crossBetween val="between"/>
        <c:majorUnit val="2000"/>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7.7912776935606165E-2"/>
          <c:y val="0.17604614238035063"/>
          <c:w val="0.88309249123766054"/>
          <c:h val="0.71565438579436824"/>
        </c:manualLayout>
      </c:layout>
      <c:lineChart>
        <c:grouping val="standard"/>
        <c:varyColors val="0"/>
        <c:ser>
          <c:idx val="1"/>
          <c:order val="0"/>
          <c:tx>
            <c:strRef>
              <c:f>'Table 6'!$U$6</c:f>
              <c:strCache>
                <c:ptCount val="1"/>
                <c:pt idx="0">
                  <c:v>Average custodial sentence length (months)</c:v>
                </c:pt>
              </c:strCache>
            </c:strRef>
          </c:tx>
          <c:spPr>
            <a:ln>
              <a:solidFill>
                <a:schemeClr val="accent1"/>
              </a:solidFill>
            </a:ln>
          </c:spPr>
          <c:marker>
            <c:symbol val="none"/>
          </c:marker>
          <c:cat>
            <c:numRef>
              <c:f>'Table 6'!$C$7:$C$36</c:f>
              <c:numCache>
                <c:formatCode>General</c:formatCode>
                <c:ptCount val="30"/>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numCache>
            </c:numRef>
          </c:cat>
          <c:val>
            <c:numRef>
              <c:f>'Table 6'!$U$7:$U$38</c:f>
              <c:numCache>
                <c:formatCode>0.0</c:formatCode>
                <c:ptCount val="32"/>
                <c:pt idx="0">
                  <c:v>4.34</c:v>
                </c:pt>
                <c:pt idx="1">
                  <c:v>0</c:v>
                </c:pt>
                <c:pt idx="2">
                  <c:v>0</c:v>
                </c:pt>
                <c:pt idx="3">
                  <c:v>0</c:v>
                </c:pt>
                <c:pt idx="4">
                  <c:v>1.7</c:v>
                </c:pt>
                <c:pt idx="5">
                  <c:v>2.4999999994623661</c:v>
                </c:pt>
                <c:pt idx="6">
                  <c:v>2.3999111099999997</c:v>
                </c:pt>
                <c:pt idx="7">
                  <c:v>2.6430303033333331</c:v>
                </c:pt>
                <c:pt idx="8">
                  <c:v>2.6202736333333334</c:v>
                </c:pt>
                <c:pt idx="9">
                  <c:v>2.7513833999999999</c:v>
                </c:pt>
                <c:pt idx="10">
                  <c:v>2.7330518033333333</c:v>
                </c:pt>
                <c:pt idx="11">
                  <c:v>2.9408365666666669</c:v>
                </c:pt>
                <c:pt idx="12">
                  <c:v>2.9572492333333336</c:v>
                </c:pt>
                <c:pt idx="13">
                  <c:v>2.9657668700000004</c:v>
                </c:pt>
                <c:pt idx="14">
                  <c:v>3.2227835066666666</c:v>
                </c:pt>
                <c:pt idx="15">
                  <c:v>3.4359441860465112</c:v>
                </c:pt>
                <c:pt idx="16">
                  <c:v>3.6379624413145537</c:v>
                </c:pt>
                <c:pt idx="17">
                  <c:v>4.6605818181818179</c:v>
                </c:pt>
                <c:pt idx="18">
                  <c:v>4.7389253731343279</c:v>
                </c:pt>
                <c:pt idx="19" formatCode="#,##0.0">
                  <c:v>4.7880547686496726</c:v>
                </c:pt>
                <c:pt idx="20" formatCode="#,##0.0">
                  <c:v>5.0646043771043807</c:v>
                </c:pt>
                <c:pt idx="21" formatCode="#,##0.0">
                  <c:v>5.0928104575163378</c:v>
                </c:pt>
                <c:pt idx="22" formatCode="#,##0.0">
                  <c:v>5.5535637149028112</c:v>
                </c:pt>
                <c:pt idx="23" formatCode="#,##0.0">
                  <c:v>5.7916891891891913</c:v>
                </c:pt>
                <c:pt idx="24" formatCode="#,##0.0">
                  <c:v>6.0981277745608979</c:v>
                </c:pt>
                <c:pt idx="25" formatCode="#,##0.0">
                  <c:v>6.5</c:v>
                </c:pt>
                <c:pt idx="26" formatCode="#,##0.0">
                  <c:v>6.5</c:v>
                </c:pt>
                <c:pt idx="27" formatCode="#,##0.0">
                  <c:v>7.1</c:v>
                </c:pt>
                <c:pt idx="28" formatCode="#,##0.0">
                  <c:v>7.3</c:v>
                </c:pt>
                <c:pt idx="29" formatCode="#,##0.0">
                  <c:v>7.3</c:v>
                </c:pt>
                <c:pt idx="30" formatCode="#,##0.0">
                  <c:v>7.1</c:v>
                </c:pt>
                <c:pt idx="31" formatCode="#,##0.0">
                  <c:v>7.4</c:v>
                </c:pt>
              </c:numCache>
            </c:numRef>
          </c:val>
          <c:smooth val="0"/>
          <c:extLst xmlns:c15="http://schemas.microsoft.com/office/drawing/2012/chart">
            <c:ext xmlns:c16="http://schemas.microsoft.com/office/drawing/2014/chart" uri="{C3380CC4-5D6E-409C-BE32-E72D297353CC}">
              <c16:uniqueId val="{00000000-6B95-4062-95D5-DA3077CE02C6}"/>
            </c:ext>
          </c:extLst>
        </c:ser>
        <c:dLbls>
          <c:showLegendKey val="0"/>
          <c:showVal val="0"/>
          <c:showCatName val="0"/>
          <c:showSerName val="0"/>
          <c:showPercent val="0"/>
          <c:showBubbleSize val="0"/>
        </c:dLbls>
        <c:smooth val="0"/>
        <c:axId val="731889408"/>
        <c:axId val="731889800"/>
        <c:extLst/>
      </c:lineChart>
      <c:catAx>
        <c:axId val="731889408"/>
        <c:scaling>
          <c:orientation val="minMax"/>
        </c:scaling>
        <c:delete val="0"/>
        <c:axPos val="b"/>
        <c:numFmt formatCode="General" sourceLinked="0"/>
        <c:majorTickMark val="out"/>
        <c:minorTickMark val="none"/>
        <c:tickLblPos val="nextTo"/>
        <c:spPr>
          <a:ln>
            <a:solidFill>
              <a:schemeClr val="bg1">
                <a:lumMod val="65000"/>
              </a:schemeClr>
            </a:solidFill>
          </a:ln>
        </c:spPr>
        <c:txPr>
          <a:bodyPr rot="0" vert="horz"/>
          <a:lstStyle/>
          <a:p>
            <a:pPr>
              <a:defRPr sz="900"/>
            </a:pPr>
            <a:endParaRPr lang="en-US"/>
          </a:p>
        </c:txPr>
        <c:crossAx val="731889800"/>
        <c:crosses val="autoZero"/>
        <c:auto val="1"/>
        <c:lblAlgn val="ctr"/>
        <c:lblOffset val="100"/>
        <c:tickLblSkip val="5"/>
        <c:tickMarkSkip val="5"/>
        <c:noMultiLvlLbl val="0"/>
      </c:catAx>
      <c:valAx>
        <c:axId val="731889800"/>
        <c:scaling>
          <c:orientation val="minMax"/>
        </c:scaling>
        <c:delete val="0"/>
        <c:axPos val="l"/>
        <c:numFmt formatCode="0" sourceLinked="0"/>
        <c:majorTickMark val="out"/>
        <c:minorTickMark val="none"/>
        <c:tickLblPos val="nextTo"/>
        <c:spPr>
          <a:ln>
            <a:solidFill>
              <a:schemeClr val="bg1">
                <a:lumMod val="65000"/>
              </a:schemeClr>
            </a:solidFill>
          </a:ln>
        </c:spPr>
        <c:txPr>
          <a:bodyPr/>
          <a:lstStyle/>
          <a:p>
            <a:pPr>
              <a:defRPr sz="900"/>
            </a:pPr>
            <a:endParaRPr lang="en-US"/>
          </a:p>
        </c:txPr>
        <c:crossAx val="731889408"/>
        <c:crosses val="autoZero"/>
        <c:crossBetween val="midCat"/>
      </c:valAx>
      <c:spPr>
        <a:noFill/>
      </c:spPr>
    </c:plotArea>
    <c:plotVisOnly val="1"/>
    <c:dispBlanksAs val="gap"/>
    <c:showDLblsOverMax val="0"/>
  </c:chart>
  <c:spPr>
    <a:solidFill>
      <a:schemeClr val="bg2"/>
    </a:solidFill>
    <a:ln>
      <a:noFill/>
    </a:ln>
  </c:spPr>
  <c:txPr>
    <a:bodyPr/>
    <a:lstStyle/>
    <a:p>
      <a:pPr>
        <a:defRPr sz="1100">
          <a:latin typeface="Open Sans" panose="020B0606030504020204" pitchFamily="34" charset="0"/>
          <a:ea typeface="Open Sans" panose="020B0606030504020204" pitchFamily="34" charset="0"/>
          <a:cs typeface="Open Sans" panose="020B0606030504020204" pitchFamily="34" charset="0"/>
        </a:defRPr>
      </a:pPr>
      <a:endParaRPr lang="en-US"/>
    </a:p>
  </c:txPr>
  <c:printSettings>
    <c:headerFooter/>
    <c:pageMargins b="0.75" l="0.7" r="0.7" t="0.75" header="0.3" footer="0.3"/>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244231</xdr:colOff>
      <xdr:row>14</xdr:row>
      <xdr:rowOff>87328</xdr:rowOff>
    </xdr:from>
    <xdr:to>
      <xdr:col>24</xdr:col>
      <xdr:colOff>305288</xdr:colOff>
      <xdr:row>26</xdr:row>
      <xdr:rowOff>0</xdr:rowOff>
    </xdr:to>
    <xdr:graphicFrame macro="">
      <xdr:nvGraphicFramePr>
        <xdr:cNvPr id="2" name="Chart 1">
          <a:extLst>
            <a:ext uri="{FF2B5EF4-FFF2-40B4-BE49-F238E27FC236}">
              <a16:creationId xmlns:a16="http://schemas.microsoft.com/office/drawing/2014/main" id="{D909BC2C-1BA7-4914-93AD-3F9146992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2613269</xdr:colOff>
      <xdr:row>3</xdr:row>
      <xdr:rowOff>305288</xdr:rowOff>
    </xdr:from>
    <xdr:to>
      <xdr:col>21</xdr:col>
      <xdr:colOff>2625481</xdr:colOff>
      <xdr:row>6</xdr:row>
      <xdr:rowOff>0</xdr:rowOff>
    </xdr:to>
    <xdr:cxnSp macro="">
      <xdr:nvCxnSpPr>
        <xdr:cNvPr id="3" name="Straight Connector 2">
          <a:extLst>
            <a:ext uri="{FF2B5EF4-FFF2-40B4-BE49-F238E27FC236}">
              <a16:creationId xmlns:a16="http://schemas.microsoft.com/office/drawing/2014/main" id="{7CA67C2C-846D-4689-9750-4926C977413B}"/>
            </a:ext>
          </a:extLst>
        </xdr:cNvPr>
        <xdr:cNvCxnSpPr/>
      </xdr:nvCxnSpPr>
      <xdr:spPr>
        <a:xfrm>
          <a:off x="7429500" y="762488"/>
          <a:ext cx="0" cy="761512"/>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cdr:x>
      <cdr:y>0.01351</cdr:y>
    </cdr:from>
    <cdr:to>
      <cdr:x>1</cdr:x>
      <cdr:y>0.1886</cdr:y>
    </cdr:to>
    <cdr:sp macro="" textlink="">
      <cdr:nvSpPr>
        <cdr:cNvPr id="5" name="TextBox 1"/>
        <cdr:cNvSpPr txBox="1"/>
      </cdr:nvSpPr>
      <cdr:spPr>
        <a:xfrm xmlns:a="http://schemas.openxmlformats.org/drawingml/2006/main">
          <a:off x="0" y="39738"/>
          <a:ext cx="5281170" cy="515048"/>
        </a:xfrm>
        <a:prstGeom xmlns:a="http://schemas.openxmlformats.org/drawingml/2006/main" prst="rect">
          <a:avLst/>
        </a:prstGeom>
        <a:noFill xmlns:a="http://schemas.openxmlformats.org/drawingml/2006/main"/>
      </cdr:spPr>
      <cdr:txBody>
        <a:bodyPr xmlns:a="http://schemas.openxmlformats.org/drawingml/2006/main" wrap="none" lIns="144000" tIns="0" rIns="144000" bIns="0"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rtl="0" eaLnBrk="1" fontAlgn="auto" latinLnBrk="0" hangingPunct="1"/>
          <a:r>
            <a:rPr lang="en-GB" sz="1400" b="1" i="0" baseline="0">
              <a:solidFill>
                <a:schemeClr val="accent1"/>
              </a:solidFill>
              <a:effectLst/>
              <a:latin typeface="National-LFSN Semibd" panose="020B0704030502020203" pitchFamily="34" charset="0"/>
              <a:ea typeface="+mn-ea"/>
              <a:cs typeface="+mn-cs"/>
            </a:rPr>
            <a:t>Selected offences involving a knife or sharp instrument</a:t>
          </a:r>
          <a:endParaRPr lang="en-GB" sz="1400">
            <a:solidFill>
              <a:schemeClr val="accent1"/>
            </a:solidFill>
            <a:effectLst/>
            <a:latin typeface="National-LFSN Semibd" panose="020B0704030502020203" pitchFamily="34" charset="0"/>
          </a:endParaRPr>
        </a:p>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pPr>
          <a:r>
            <a:rPr lang="en-GB" sz="1100" b="0" i="0" baseline="0">
              <a:solidFill>
                <a:schemeClr val="accent1"/>
              </a:solidFill>
              <a:effectLst/>
              <a:latin typeface="National-LFSN Book" panose="020B0504030502020203" pitchFamily="34" charset="0"/>
              <a:ea typeface="Open Sans" panose="020B0606030504020204" pitchFamily="34" charset="0"/>
              <a:cs typeface="Open Sans" panose="020B0606030504020204" pitchFamily="34" charset="0"/>
            </a:rPr>
            <a:t>Percentage change by category, England and Wales (excluding GMP and Devon &amp; Cornwall) 2019/20 – 2022/23</a:t>
          </a:r>
        </a:p>
      </cdr:txBody>
    </cdr:sp>
  </cdr:relSizeAnchor>
</c:userShapes>
</file>

<file path=xl/drawings/drawing3.xml><?xml version="1.0" encoding="utf-8"?>
<xdr:wsDr xmlns:xdr="http://schemas.openxmlformats.org/drawingml/2006/spreadsheetDrawing" xmlns:a="http://schemas.openxmlformats.org/drawingml/2006/main">
  <xdr:twoCellAnchor>
    <xdr:from>
      <xdr:col>26</xdr:col>
      <xdr:colOff>609599</xdr:colOff>
      <xdr:row>46</xdr:row>
      <xdr:rowOff>0</xdr:rowOff>
    </xdr:from>
    <xdr:to>
      <xdr:col>35</xdr:col>
      <xdr:colOff>1095374</xdr:colOff>
      <xdr:row>63</xdr:row>
      <xdr:rowOff>332828</xdr:rowOff>
    </xdr:to>
    <xdr:graphicFrame macro="">
      <xdr:nvGraphicFramePr>
        <xdr:cNvPr id="2" name="Chart 1">
          <a:extLst>
            <a:ext uri="{FF2B5EF4-FFF2-40B4-BE49-F238E27FC236}">
              <a16:creationId xmlns:a16="http://schemas.microsoft.com/office/drawing/2014/main" id="{A7BD3070-B86A-4B44-A5FA-32E471493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0</xdr:colOff>
      <xdr:row>30</xdr:row>
      <xdr:rowOff>0</xdr:rowOff>
    </xdr:from>
    <xdr:to>
      <xdr:col>35</xdr:col>
      <xdr:colOff>1076325</xdr:colOff>
      <xdr:row>44</xdr:row>
      <xdr:rowOff>151490</xdr:rowOff>
    </xdr:to>
    <xdr:graphicFrame macro="">
      <xdr:nvGraphicFramePr>
        <xdr:cNvPr id="3" name="Chart 2">
          <a:extLst>
            <a:ext uri="{FF2B5EF4-FFF2-40B4-BE49-F238E27FC236}">
              <a16:creationId xmlns:a16="http://schemas.microsoft.com/office/drawing/2014/main" id="{B4477AB5-A203-47CB-91AF-A1C17B3C5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0.01886</cdr:x>
      <cdr:y>0.01908</cdr:y>
    </cdr:from>
    <cdr:to>
      <cdr:x>0.70255</cdr:x>
      <cdr:y>0.25134</cdr:y>
    </cdr:to>
    <cdr:sp macro="" textlink="">
      <cdr:nvSpPr>
        <cdr:cNvPr id="2" name="TextBox 1">
          <a:extLst xmlns:a="http://schemas.openxmlformats.org/drawingml/2006/main">
            <a:ext uri="{FF2B5EF4-FFF2-40B4-BE49-F238E27FC236}">
              <a16:creationId xmlns:a16="http://schemas.microsoft.com/office/drawing/2014/main" id="{F95A1DE5-6679-4ED2-ABE3-FC52FBB014BE}"/>
            </a:ext>
          </a:extLst>
        </cdr:cNvPr>
        <cdr:cNvSpPr txBox="1"/>
      </cdr:nvSpPr>
      <cdr:spPr>
        <a:xfrm xmlns:a="http://schemas.openxmlformats.org/drawingml/2006/main">
          <a:off x="103189" y="67990"/>
          <a:ext cx="3740150" cy="8276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400">
              <a:solidFill>
                <a:schemeClr val="accent1"/>
              </a:solidFill>
              <a:latin typeface="National-LFSN Semibd" panose="020B0704030502020203" pitchFamily="34" charset="0"/>
            </a:rPr>
            <a:t>Outcome of proven possession offences</a:t>
          </a:r>
        </a:p>
        <a:p xmlns:a="http://schemas.openxmlformats.org/drawingml/2006/main">
          <a:r>
            <a:rPr lang="en-GB" sz="1100">
              <a:solidFill>
                <a:schemeClr val="accent1"/>
              </a:solidFill>
              <a:latin typeface="National-LFSN Book" panose="020B0504030502020203" pitchFamily="34" charset="0"/>
            </a:rPr>
            <a:t>By</a:t>
          </a:r>
          <a:r>
            <a:rPr lang="en-GB" sz="1100" baseline="0">
              <a:solidFill>
                <a:schemeClr val="accent1"/>
              </a:solidFill>
              <a:latin typeface="National-LFSN Book" panose="020B0504030502020203" pitchFamily="34" charset="0"/>
            </a:rPr>
            <a:t> quarter, a</a:t>
          </a:r>
          <a:r>
            <a:rPr lang="en-GB" sz="1100">
              <a:solidFill>
                <a:schemeClr val="accent1"/>
              </a:solidFill>
              <a:latin typeface="National-LFSN Book" panose="020B0504030502020203" pitchFamily="34" charset="0"/>
            </a:rPr>
            <a:t>s</a:t>
          </a:r>
          <a:r>
            <a:rPr lang="en-GB" sz="1100" baseline="0">
              <a:solidFill>
                <a:schemeClr val="accent1"/>
              </a:solidFill>
              <a:latin typeface="National-LFSN Book" panose="020B0504030502020203" pitchFamily="34" charset="0"/>
            </a:rPr>
            <a:t> proportion of total</a:t>
          </a:r>
          <a:r>
            <a:rPr lang="en-GB" sz="1100">
              <a:solidFill>
                <a:schemeClr val="accent1"/>
              </a:solidFill>
              <a:latin typeface="National-LFSN Book" panose="020B0504030502020203" pitchFamily="34" charset="0"/>
            </a:rPr>
            <a:t>,</a:t>
          </a:r>
          <a:r>
            <a:rPr lang="en-GB" sz="1100" baseline="0">
              <a:solidFill>
                <a:schemeClr val="accent1"/>
              </a:solidFill>
              <a:latin typeface="National-LFSN Book" panose="020B0504030502020203" pitchFamily="34" charset="0"/>
            </a:rPr>
            <a:t> England and Wales</a:t>
          </a:r>
          <a:endParaRPr lang="en-GB" sz="1100">
            <a:solidFill>
              <a:schemeClr val="accent1"/>
            </a:solidFill>
            <a:latin typeface="National-LFSN Book" panose="020B0504030502020203"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1</cdr:x>
      <cdr:y>0.30294</cdr:y>
    </cdr:to>
    <cdr:sp macro="" textlink="">
      <cdr:nvSpPr>
        <cdr:cNvPr id="2" name="TextBox 1">
          <a:extLst xmlns:a="http://schemas.openxmlformats.org/drawingml/2006/main">
            <a:ext uri="{FF2B5EF4-FFF2-40B4-BE49-F238E27FC236}">
              <a16:creationId xmlns:a16="http://schemas.microsoft.com/office/drawing/2014/main" id="{C5316AFF-3C71-4948-8683-6CAEDE5B6C88}"/>
            </a:ext>
          </a:extLst>
        </cdr:cNvPr>
        <cdr:cNvSpPr txBox="1"/>
      </cdr:nvSpPr>
      <cdr:spPr>
        <a:xfrm xmlns:a="http://schemas.openxmlformats.org/drawingml/2006/main">
          <a:off x="0" y="0"/>
          <a:ext cx="5014864" cy="77540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400">
              <a:solidFill>
                <a:schemeClr val="accent1"/>
              </a:solidFill>
              <a:latin typeface="National-LFSN Semibd" panose="020B0704030502020203" pitchFamily="34" charset="0"/>
            </a:rPr>
            <a:t>Knife</a:t>
          </a:r>
          <a:r>
            <a:rPr lang="en-GB" sz="1400" baseline="0">
              <a:solidFill>
                <a:schemeClr val="accent1"/>
              </a:solidFill>
              <a:latin typeface="National-LFSN Semibd" panose="020B0704030502020203" pitchFamily="34" charset="0"/>
            </a:rPr>
            <a:t> or offensive weapon possesions resulting in a caution or sentence</a:t>
          </a:r>
        </a:p>
        <a:p xmlns:a="http://schemas.openxmlformats.org/drawingml/2006/main">
          <a:r>
            <a:rPr lang="en-GB" sz="1100" baseline="0">
              <a:solidFill>
                <a:schemeClr val="accent1"/>
              </a:solidFill>
              <a:latin typeface="National-LFSN Book" panose="020B0504030502020203" pitchFamily="34" charset="0"/>
            </a:rPr>
            <a:t>By quarter, England and Wales (thousands)</a:t>
          </a:r>
          <a:endParaRPr lang="en-GB" sz="1100">
            <a:solidFill>
              <a:schemeClr val="accent1"/>
            </a:solidFill>
            <a:latin typeface="National-LFSN Book" panose="020B0504030502020203" pitchFamily="34" charset="0"/>
          </a:endParaRPr>
        </a:p>
      </cdr:txBody>
    </cdr:sp>
  </cdr:relSizeAnchor>
</c:userShapes>
</file>

<file path=xl/drawings/drawing6.xml><?xml version="1.0" encoding="utf-8"?>
<xdr:wsDr xmlns:xdr="http://schemas.openxmlformats.org/drawingml/2006/spreadsheetDrawing" xmlns:a="http://schemas.openxmlformats.org/drawingml/2006/main">
  <xdr:absoluteAnchor>
    <xdr:pos x="20674852" y="2106706"/>
    <xdr:ext cx="5385548" cy="3086100"/>
    <xdr:graphicFrame macro="">
      <xdr:nvGraphicFramePr>
        <xdr:cNvPr id="4" name="Chart 3">
          <a:extLst>
            <a:ext uri="{FF2B5EF4-FFF2-40B4-BE49-F238E27FC236}">
              <a16:creationId xmlns:a16="http://schemas.microsoft.com/office/drawing/2014/main" id="{07638F9D-7C35-4EEA-A6B7-2FBA1553C2F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editAs="oneCell">
    <xdr:from>
      <xdr:col>27</xdr:col>
      <xdr:colOff>0</xdr:colOff>
      <xdr:row>7</xdr:row>
      <xdr:rowOff>0</xdr:rowOff>
    </xdr:from>
    <xdr:to>
      <xdr:col>36</xdr:col>
      <xdr:colOff>304800</xdr:colOff>
      <xdr:row>8</xdr:row>
      <xdr:rowOff>114299</xdr:rowOff>
    </xdr:to>
    <xdr:sp macro="" textlink="">
      <xdr:nvSpPr>
        <xdr:cNvPr id="5" name="avatar">
          <a:extLst>
            <a:ext uri="{FF2B5EF4-FFF2-40B4-BE49-F238E27FC236}">
              <a16:creationId xmlns:a16="http://schemas.microsoft.com/office/drawing/2014/main" id="{0827AE02-7B96-4816-971A-56405EC12852}"/>
            </a:ext>
          </a:extLst>
        </xdr:cNvPr>
        <xdr:cNvSpPr>
          <a:spLocks noChangeAspect="1" noChangeArrowheads="1"/>
        </xdr:cNvSpPr>
      </xdr:nvSpPr>
      <xdr:spPr bwMode="auto">
        <a:xfrm>
          <a:off x="15563850" y="146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absolute">
    <xdr:from>
      <xdr:col>49</xdr:col>
      <xdr:colOff>374650</xdr:colOff>
      <xdr:row>26</xdr:row>
      <xdr:rowOff>48683</xdr:rowOff>
    </xdr:from>
    <xdr:to>
      <xdr:col>58</xdr:col>
      <xdr:colOff>164465</xdr:colOff>
      <xdr:row>29</xdr:row>
      <xdr:rowOff>189019</xdr:rowOff>
    </xdr:to>
    <xdr:sp macro="" textlink="">
      <xdr:nvSpPr>
        <xdr:cNvPr id="7" name="TextBox 6">
          <a:extLst>
            <a:ext uri="{FF2B5EF4-FFF2-40B4-BE49-F238E27FC236}">
              <a16:creationId xmlns:a16="http://schemas.microsoft.com/office/drawing/2014/main" id="{1CC9C6E0-CE46-4F07-8679-00CFF16AEF1C}"/>
            </a:ext>
            <a:ext uri="{147F2762-F138-4A5C-976F-8EAC2B608ADB}">
              <a16:predDERef xmlns:a16="http://schemas.microsoft.com/office/drawing/2014/main" pred="{978378A7-9F52-4B31-8624-B8546C107B70}"/>
            </a:ext>
          </a:extLst>
        </xdr:cNvPr>
        <xdr:cNvSpPr txBox="1">
          <a:spLocks/>
        </xdr:cNvSpPr>
      </xdr:nvSpPr>
      <xdr:spPr>
        <a:xfrm>
          <a:off x="20173950" y="5372100"/>
          <a:ext cx="5276215" cy="77321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Full column</a:t>
          </a:r>
          <a:r>
            <a:rPr lang="en-GB" sz="1100" b="1" baseline="0">
              <a:solidFill>
                <a:schemeClr val="bg1"/>
              </a:solidFill>
            </a:rPr>
            <a:t> width </a:t>
          </a:r>
          <a:r>
            <a:rPr lang="en-GB" sz="1100" b="1">
              <a:solidFill>
                <a:schemeClr val="bg1"/>
              </a:solidFill>
            </a:rPr>
            <a:t>(132mm):</a:t>
          </a:r>
        </a:p>
        <a:p>
          <a:r>
            <a:rPr lang="en-GB" sz="1100">
              <a:solidFill>
                <a:schemeClr val="bg1"/>
              </a:solidFill>
            </a:rPr>
            <a:t>Simply paste into the text column. Anything wider than this will be shrunk</a:t>
          </a:r>
          <a:r>
            <a:rPr lang="en-GB" sz="1100" baseline="0">
              <a:solidFill>
                <a:schemeClr val="bg1"/>
              </a:solidFill>
            </a:rPr>
            <a:t> if you paste it into the text column!</a:t>
          </a:r>
          <a:endParaRPr lang="en-GB" sz="1100">
            <a:solidFill>
              <a:schemeClr val="bg1"/>
            </a:solidFill>
          </a:endParaRPr>
        </a:p>
      </xdr:txBody>
    </xdr:sp>
    <xdr:clientData/>
  </xdr:twoCellAnchor>
</xdr:wsDr>
</file>

<file path=xl/drawings/drawing7.xml><?xml version="1.0" encoding="utf-8"?>
<c:userShapes xmlns:c="http://schemas.openxmlformats.org/drawingml/2006/chart">
  <cdr:relSizeAnchor xmlns:cdr="http://schemas.openxmlformats.org/drawingml/2006/chartDrawing">
    <cdr:from>
      <cdr:x>0.02608</cdr:x>
      <cdr:y>0.00309</cdr:y>
    </cdr:from>
    <cdr:to>
      <cdr:x>1</cdr:x>
      <cdr:y>0.30501</cdr:y>
    </cdr:to>
    <cdr:sp macro="" textlink="">
      <cdr:nvSpPr>
        <cdr:cNvPr id="2" name="TextBox 1"/>
        <cdr:cNvSpPr txBox="1"/>
      </cdr:nvSpPr>
      <cdr:spPr>
        <a:xfrm xmlns:a="http://schemas.openxmlformats.org/drawingml/2006/main">
          <a:off x="140448" y="9536"/>
          <a:ext cx="5245100" cy="931755"/>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pPr marL="0" marR="0" lvl="0" indent="0" algn="l" defTabSz="914400" rtl="0" eaLnBrk="1" fontAlgn="auto" latinLnBrk="0" hangingPunct="1">
            <a:lnSpc>
              <a:spcPct val="100000"/>
            </a:lnSpc>
            <a:spcBef>
              <a:spcPts val="0"/>
            </a:spcBef>
            <a:spcAft>
              <a:spcPts val="0"/>
            </a:spcAft>
            <a:buClrTx/>
            <a:buSzTx/>
            <a:buFontTx/>
            <a:buNone/>
            <a:tabLst/>
            <a:defRPr/>
          </a:pPr>
          <a:r>
            <a:rPr lang="en-GB" sz="1400" b="1" i="0" cap="none" baseline="0">
              <a:solidFill>
                <a:schemeClr val="accent1"/>
              </a:solidFill>
              <a:effectLst/>
              <a:latin typeface="National-LFSN Semibd" panose="020B0704030502020203" pitchFamily="34" charset="0"/>
              <a:ea typeface="Open Sans" panose="020B0606030504020204" pitchFamily="34" charset="0"/>
              <a:cs typeface="Open Sans" panose="020B0606030504020204" pitchFamily="34" charset="0"/>
            </a:rPr>
            <a:t>Average custodial sentence length (months)</a:t>
          </a:r>
        </a:p>
        <a:p xmlns:a="http://schemas.openxmlformats.org/drawingml/2006/main">
          <a:pPr marL="0" marR="0" lvl="0" indent="0" algn="l" defTabSz="914400" rtl="0" eaLnBrk="1" fontAlgn="auto" latinLnBrk="0" hangingPunct="1">
            <a:lnSpc>
              <a:spcPct val="100000"/>
            </a:lnSpc>
            <a:spcBef>
              <a:spcPts val="0"/>
            </a:spcBef>
            <a:spcAft>
              <a:spcPts val="0"/>
            </a:spcAft>
            <a:buClrTx/>
            <a:buSzTx/>
            <a:buFontTx/>
            <a:buNone/>
            <a:tabLst/>
            <a:defRPr/>
          </a:pPr>
          <a:r>
            <a:rPr lang="en-GB" sz="1150" b="0" i="0" baseline="0">
              <a:solidFill>
                <a:schemeClr val="accent1"/>
              </a:solidFill>
              <a:effectLst/>
              <a:latin typeface="National-LFSN Book" panose="020B0504030502020203" pitchFamily="34" charset="0"/>
              <a:ea typeface="Open Sans" panose="020B0606030504020204" pitchFamily="34" charset="0"/>
              <a:cs typeface="Open Sans" panose="020B0606030504020204" pitchFamily="34" charset="0"/>
            </a:rPr>
            <a:t>for a possession of article with blade or point, England &amp; Wales</a:t>
          </a:r>
          <a:endParaRPr lang="en-GB" sz="1150" b="0">
            <a:solidFill>
              <a:schemeClr val="accent1"/>
            </a:solidFill>
            <a:latin typeface="National-LFSN Book" panose="020B0504030502020203" pitchFamily="34" charset="0"/>
            <a:ea typeface="Open Sans" panose="020B0606030504020204" pitchFamily="34" charset="0"/>
            <a:cs typeface="Open Sans" panose="020B0606030504020204" pitchFamily="34" charset="0"/>
          </a:endParaRP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dom1.infra.int/data/JSAS/CJSS/CCJU/CS/2010/Working%20area/4%20Offenders%20found%20guilty/Chapter%204%20draft%20tables.xls" TargetMode="External"/><Relationship Id="rId1" Type="http://schemas.openxmlformats.org/officeDocument/2006/relationships/externalLinkPath" Target="/dom1.infra.int/data/JSAS/CJSS/CCJU/CS/2010/Working%20area/4%20Offenders%20found%20guilty/Chapter%204%20draft%20tabl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om1.infra.int/data/JSAS/CJSS/CCJU/CS/2011%20March/Working%20area/4%20%20Offenders%20found%20guilty/Chapter%204%20-%20Offenders%20VA.xls" TargetMode="External"/><Relationship Id="rId1" Type="http://schemas.openxmlformats.org/officeDocument/2006/relationships/externalLinkPath" Target="/dom1.infra.int/data/JSAS/CJSS/CCJU/CS/2011%20March/Working%20area/4%20%20Offenders%20found%20guilty/Chapter%204%20-%20Offenders%20VA.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dom1/data/hq/102PF/Shared/CJG/JSAS/CJSS/CCJU/CS/2018%20Q1%20Mar/Final%20docs%20for%20webteam/RecoveredExternalLink1" TargetMode="External"/><Relationship Id="rId1" Type="http://schemas.openxmlformats.org/officeDocument/2006/relationships/externalLinkPath" Target="/dom1/data/hq/102PF/Shared/CJG/JSAS/CJSS/CCJU/CS/2018%20Q1%20Mar/Final%20docs%20for%20webteam/RecoveredExternalLink1"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dom1.infra.int/data/JSAS/CJSS/CCJU/CS/2011%20Q2%20June/Working%20area/6%20Offences/Chapter%206%20draft%20tables%20VA.xls" TargetMode="External"/><Relationship Id="rId1" Type="http://schemas.openxmlformats.org/officeDocument/2006/relationships/externalLinkPath" Target="/dom1.infra.int/data/JSAS/CJSS/CCJU/CS/2011%20Q2%20June/Working%20area/6%20Offences/Chapter%206%20draft%20tables%20VA.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m1.infra.int/data/JSAS/CJSS/CCJU/CS/2010/Working%20area/3%20Court%20Proceedings/Proceedings/Chapter%203%20Proceedings.xls" TargetMode="External"/><Relationship Id="rId1" Type="http://schemas.openxmlformats.org/officeDocument/2006/relationships/externalLinkPath" Target="/dom1.infra.int/data/JSAS/CJSS/CCJU/CS/2010/Working%20area/3%20Court%20Proceedings/Proceedings/Chapter%203%20Proceeding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POISE/Data/RQG/Sitegroup/RDS_M/CRIME%20STATISTICS%20PROGRAMME/ASB%20police%20force%20collection/Data/2011_12%20data%20returns/Q4%202011%20returns/NSIR%20data_2011-12%20V1.4.xlsx" TargetMode="External"/><Relationship Id="rId1" Type="http://schemas.openxmlformats.org/officeDocument/2006/relationships/externalLinkPath" Target="/POISE/Data/RQG/Sitegroup/RDS_M/CRIME%20STATISTICS%20PROGRAMME/ASB%20police%20force%20collection/Data/2011_12%20data%20returns/Q4%202011%20returns/NSIR%20data_2011-12%20V1.4.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dom1.infra.int/data/JSAS/CJSS/CCJU/CS/2011%20Q3%20September/Working%20area/4%20Offenders%20found%20guilty/Chapter%204%20-%20convictions%20blank%20template.xls" TargetMode="External"/><Relationship Id="rId1" Type="http://schemas.openxmlformats.org/officeDocument/2006/relationships/externalLinkPath" Target="/dom1.infra.int/data/JSAS/CJSS/CCJU/CS/2011%20Q3%20September/Working%20area/4%20Offenders%20found%20guilty/Chapter%204%20-%20convictions%20blank%20template.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C:/_CFP/2-Criminal%20Justice/01-CJ%20System%20Performance/004-Perf%20Mgt/004-Local%20CJS%20Perf/005-Reports/03-NCJB%20Perf%20Table/01-Documents/2005-09-27%20Latest%20Draft%20Summary%20Table%20APRT.xls" TargetMode="External"/><Relationship Id="rId1" Type="http://schemas.openxmlformats.org/officeDocument/2006/relationships/externalLinkPath" Target="/C:/_CFP/2-Criminal%20Justice/01-CJ%20System%20Performance/004-Perf%20Mgt/004-Local%20CJS%20Perf/005-Reports/03-NCJB%20Perf%20Table/01-Documents/2005-09-27%20Latest%20Draft%20Summary%20Table%20APRT.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Sirius/App_Temp/Warrants%20DATA.xls" TargetMode="External"/><Relationship Id="rId1" Type="http://schemas.openxmlformats.org/officeDocument/2006/relationships/externalLinkPath" Target="/C:/Sirius/App_Temp/Warrants%20DATA.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dom1.infra.int/data/JSAS/CJSS/CCJU/CS/2010/Working%20area/0%20Overview%20tables/Overview%20and%20Main%20TablesV3.xls" TargetMode="External"/><Relationship Id="rId1" Type="http://schemas.openxmlformats.org/officeDocument/2006/relationships/externalLinkPath" Target="/dom1.infra.int/data/JSAS/CJSS/CCJU/CS/2010/Working%20area/0%20Overview%20tables/Overview%20and%20Main%20TablesV3.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dom1.infra.int/data/JSAS/CJSS/CCJU/CS/2010/Working%20area/5%20Offences/Chapter%205%20draft%20tables%20VA.xls" TargetMode="External"/><Relationship Id="rId1" Type="http://schemas.openxmlformats.org/officeDocument/2006/relationships/externalLinkPath" Target="/dom1.infra.int/data/JSAS/CJSS/CCJU/CS/2010/Working%20area/5%20Offences/Chapter%205%20draft%20tables%20VA.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Poise.HomeOffice.Local/data/RQG/Sitegroup/RDS_M/BCSNEW/Quarterly%20monitor_MOVED/Yr%20ending%20Sept%2011/Final%20quarterly%20figures/Final%20Quarterly%20figures%20spreadsheet%20to%20Dec%202010_LOOKUP.xls" TargetMode="External"/><Relationship Id="rId1" Type="http://schemas.openxmlformats.org/officeDocument/2006/relationships/externalLinkPath" Target="/Poise.HomeOffice.Local/data/RQG/Sitegroup/RDS_M/BCSNEW/Quarterly%20monitor_MOVED/Yr%20ending%20Sept%2011/Final%20quarterly%20figures/Final%20Quarterly%20figures%20spreadsheet%20to%20Dec%202010_LOOKU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Summary"/>
      <sheetName val="Common values"/>
      <sheetName val="Table 4.1"/>
      <sheetName val="Table 4.2"/>
      <sheetName val="Table 4.3"/>
      <sheetName val="Table 4a"/>
      <sheetName val="Table 6.2"/>
      <sheetName val="Table 6.3"/>
      <sheetName val="Table 6.4"/>
      <sheetName val="Pivot 4.1"/>
      <sheetName val="Pivot 4.2"/>
      <sheetName val="Pivot 4.3 &amp; 4a"/>
      <sheetName val="Pivot 6.2"/>
      <sheetName val="Pivot 6.3 &amp; 6.4"/>
      <sheetName val="Figure 4.1"/>
      <sheetName val="Figure 4.2"/>
      <sheetName val="Common_values1"/>
      <sheetName val="Table_4_11"/>
      <sheetName val="Table_4_21"/>
      <sheetName val="Table_4_31"/>
      <sheetName val="Table_4a1"/>
      <sheetName val="Table_6_21"/>
      <sheetName val="Table_6_31"/>
      <sheetName val="Table_6_41"/>
      <sheetName val="Pivot_4_11"/>
      <sheetName val="Pivot_4_21"/>
      <sheetName val="Pivot_4_3_&amp;_4a1"/>
      <sheetName val="Pivot_6_21"/>
      <sheetName val="Pivot_6_3_&amp;_6_41"/>
      <sheetName val="Figure_4_11"/>
      <sheetName val="Figure_4_21"/>
      <sheetName val="Common_values"/>
      <sheetName val="Table_4_1"/>
      <sheetName val="Table_4_2"/>
      <sheetName val="Table_4_3"/>
      <sheetName val="Table_4a"/>
      <sheetName val="Table_6_2"/>
      <sheetName val="Table_6_3"/>
      <sheetName val="Table_6_4"/>
      <sheetName val="Pivot_4_1"/>
      <sheetName val="Pivot_4_2"/>
      <sheetName val="Pivot_4_3_&amp;_4a"/>
      <sheetName val="Pivot_6_2"/>
      <sheetName val="Pivot_6_3_&amp;_6_4"/>
      <sheetName val="Figure_4_1"/>
      <sheetName val="Figure_4_2"/>
      <sheetName val="Common_values16"/>
      <sheetName val="Table_4_116"/>
      <sheetName val="Table_4_216"/>
      <sheetName val="Table_4_316"/>
      <sheetName val="Table_4a16"/>
      <sheetName val="Table_6_216"/>
      <sheetName val="Table_6_316"/>
      <sheetName val="Table_6_416"/>
      <sheetName val="Pivot_4_116"/>
      <sheetName val="Pivot_4_216"/>
      <sheetName val="Pivot_4_3_&amp;_4a16"/>
      <sheetName val="Pivot_6_216"/>
      <sheetName val="Pivot_6_3_&amp;_6_416"/>
      <sheetName val="Figure_4_116"/>
      <sheetName val="Figure_4_216"/>
      <sheetName val="Common_values2"/>
      <sheetName val="Table_4_12"/>
      <sheetName val="Table_4_22"/>
      <sheetName val="Table_4_32"/>
      <sheetName val="Table_4a2"/>
      <sheetName val="Table_6_22"/>
      <sheetName val="Table_6_32"/>
      <sheetName val="Table_6_42"/>
      <sheetName val="Pivot_4_12"/>
      <sheetName val="Pivot_4_22"/>
      <sheetName val="Pivot_4_3_&amp;_4a2"/>
      <sheetName val="Pivot_6_22"/>
      <sheetName val="Pivot_6_3_&amp;_6_42"/>
      <sheetName val="Figure_4_12"/>
      <sheetName val="Figure_4_22"/>
      <sheetName val="Common_values3"/>
      <sheetName val="Table_4_13"/>
      <sheetName val="Table_4_23"/>
      <sheetName val="Table_4_33"/>
      <sheetName val="Table_4a3"/>
      <sheetName val="Table_6_23"/>
      <sheetName val="Table_6_33"/>
      <sheetName val="Table_6_43"/>
      <sheetName val="Pivot_4_13"/>
      <sheetName val="Pivot_4_23"/>
      <sheetName val="Pivot_4_3_&amp;_4a3"/>
      <sheetName val="Pivot_6_23"/>
      <sheetName val="Pivot_6_3_&amp;_6_43"/>
      <sheetName val="Figure_4_13"/>
      <sheetName val="Figure_4_23"/>
      <sheetName val="Common_values4"/>
      <sheetName val="Table_4_14"/>
      <sheetName val="Table_4_24"/>
      <sheetName val="Table_4_34"/>
      <sheetName val="Table_4a4"/>
      <sheetName val="Table_6_24"/>
      <sheetName val="Table_6_34"/>
      <sheetName val="Table_6_44"/>
      <sheetName val="Pivot_4_14"/>
      <sheetName val="Pivot_4_24"/>
      <sheetName val="Pivot_4_3_&amp;_4a4"/>
      <sheetName val="Pivot_6_24"/>
      <sheetName val="Pivot_6_3_&amp;_6_44"/>
      <sheetName val="Figure_4_14"/>
      <sheetName val="Figure_4_24"/>
      <sheetName val="Common_values6"/>
      <sheetName val="Table_4_16"/>
      <sheetName val="Table_4_26"/>
      <sheetName val="Table_4_36"/>
      <sheetName val="Table_4a6"/>
      <sheetName val="Table_6_26"/>
      <sheetName val="Table_6_36"/>
      <sheetName val="Table_6_46"/>
      <sheetName val="Pivot_4_16"/>
      <sheetName val="Pivot_4_26"/>
      <sheetName val="Pivot_4_3_&amp;_4a6"/>
      <sheetName val="Pivot_6_26"/>
      <sheetName val="Pivot_6_3_&amp;_6_46"/>
      <sheetName val="Figure_4_16"/>
      <sheetName val="Figure_4_26"/>
      <sheetName val="Common_values5"/>
      <sheetName val="Table_4_15"/>
      <sheetName val="Table_4_25"/>
      <sheetName val="Table_4_35"/>
      <sheetName val="Table_4a5"/>
      <sheetName val="Table_6_25"/>
      <sheetName val="Table_6_35"/>
      <sheetName val="Table_6_45"/>
      <sheetName val="Pivot_4_15"/>
      <sheetName val="Pivot_4_25"/>
      <sheetName val="Pivot_4_3_&amp;_4a5"/>
      <sheetName val="Pivot_6_25"/>
      <sheetName val="Pivot_6_3_&amp;_6_45"/>
      <sheetName val="Figure_4_15"/>
      <sheetName val="Figure_4_25"/>
      <sheetName val="Common_values7"/>
      <sheetName val="Table_4_17"/>
      <sheetName val="Table_4_27"/>
      <sheetName val="Table_4_37"/>
      <sheetName val="Table_4a7"/>
      <sheetName val="Table_6_27"/>
      <sheetName val="Table_6_37"/>
      <sheetName val="Table_6_47"/>
      <sheetName val="Pivot_4_17"/>
      <sheetName val="Pivot_4_27"/>
      <sheetName val="Pivot_4_3_&amp;_4a7"/>
      <sheetName val="Pivot_6_27"/>
      <sheetName val="Pivot_6_3_&amp;_6_47"/>
      <sheetName val="Figure_4_17"/>
      <sheetName val="Figure_4_27"/>
      <sheetName val="Common_values9"/>
      <sheetName val="Table_4_19"/>
      <sheetName val="Table_4_29"/>
      <sheetName val="Table_4_39"/>
      <sheetName val="Table_4a9"/>
      <sheetName val="Table_6_29"/>
      <sheetName val="Table_6_39"/>
      <sheetName val="Table_6_49"/>
      <sheetName val="Pivot_4_19"/>
      <sheetName val="Pivot_4_29"/>
      <sheetName val="Pivot_4_3_&amp;_4a9"/>
      <sheetName val="Pivot_6_29"/>
      <sheetName val="Pivot_6_3_&amp;_6_49"/>
      <sheetName val="Figure_4_19"/>
      <sheetName val="Figure_4_29"/>
      <sheetName val="Common_values8"/>
      <sheetName val="Table_4_18"/>
      <sheetName val="Table_4_28"/>
      <sheetName val="Table_4_38"/>
      <sheetName val="Table_4a8"/>
      <sheetName val="Table_6_28"/>
      <sheetName val="Table_6_38"/>
      <sheetName val="Table_6_48"/>
      <sheetName val="Pivot_4_18"/>
      <sheetName val="Pivot_4_28"/>
      <sheetName val="Pivot_4_3_&amp;_4a8"/>
      <sheetName val="Pivot_6_28"/>
      <sheetName val="Pivot_6_3_&amp;_6_48"/>
      <sheetName val="Figure_4_18"/>
      <sheetName val="Figure_4_28"/>
      <sheetName val="Common_values10"/>
      <sheetName val="Table_4_110"/>
      <sheetName val="Table_4_210"/>
      <sheetName val="Table_4_310"/>
      <sheetName val="Table_4a10"/>
      <sheetName val="Table_6_210"/>
      <sheetName val="Table_6_310"/>
      <sheetName val="Table_6_410"/>
      <sheetName val="Pivot_4_110"/>
      <sheetName val="Pivot_4_210"/>
      <sheetName val="Pivot_4_3_&amp;_4a10"/>
      <sheetName val="Pivot_6_210"/>
      <sheetName val="Pivot_6_3_&amp;_6_410"/>
      <sheetName val="Figure_4_110"/>
      <sheetName val="Figure_4_210"/>
      <sheetName val="Common_values14"/>
      <sheetName val="Table_4_114"/>
      <sheetName val="Table_4_214"/>
      <sheetName val="Table_4_314"/>
      <sheetName val="Table_4a14"/>
      <sheetName val="Table_6_214"/>
      <sheetName val="Table_6_314"/>
      <sheetName val="Table_6_414"/>
      <sheetName val="Pivot_4_114"/>
      <sheetName val="Pivot_4_214"/>
      <sheetName val="Pivot_4_3_&amp;_4a14"/>
      <sheetName val="Pivot_6_214"/>
      <sheetName val="Pivot_6_3_&amp;_6_414"/>
      <sheetName val="Figure_4_114"/>
      <sheetName val="Figure_4_214"/>
      <sheetName val="Common_values11"/>
      <sheetName val="Table_4_111"/>
      <sheetName val="Table_4_211"/>
      <sheetName val="Table_4_311"/>
      <sheetName val="Table_4a11"/>
      <sheetName val="Table_6_211"/>
      <sheetName val="Table_6_311"/>
      <sheetName val="Table_6_411"/>
      <sheetName val="Pivot_4_111"/>
      <sheetName val="Pivot_4_211"/>
      <sheetName val="Pivot_4_3_&amp;_4a11"/>
      <sheetName val="Pivot_6_211"/>
      <sheetName val="Pivot_6_3_&amp;_6_411"/>
      <sheetName val="Figure_4_111"/>
      <sheetName val="Figure_4_211"/>
      <sheetName val="Common_values12"/>
      <sheetName val="Table_4_112"/>
      <sheetName val="Table_4_212"/>
      <sheetName val="Table_4_312"/>
      <sheetName val="Table_4a12"/>
      <sheetName val="Table_6_212"/>
      <sheetName val="Table_6_312"/>
      <sheetName val="Table_6_412"/>
      <sheetName val="Pivot_4_112"/>
      <sheetName val="Pivot_4_212"/>
      <sheetName val="Pivot_4_3_&amp;_4a12"/>
      <sheetName val="Pivot_6_212"/>
      <sheetName val="Pivot_6_3_&amp;_6_412"/>
      <sheetName val="Figure_4_112"/>
      <sheetName val="Figure_4_212"/>
      <sheetName val="Common_values13"/>
      <sheetName val="Table_4_113"/>
      <sheetName val="Table_4_213"/>
      <sheetName val="Table_4_313"/>
      <sheetName val="Table_4a13"/>
      <sheetName val="Table_6_213"/>
      <sheetName val="Table_6_313"/>
      <sheetName val="Table_6_413"/>
      <sheetName val="Pivot_4_113"/>
      <sheetName val="Pivot_4_213"/>
      <sheetName val="Pivot_4_3_&amp;_4a13"/>
      <sheetName val="Pivot_6_213"/>
      <sheetName val="Pivot_6_3_&amp;_6_413"/>
      <sheetName val="Figure_4_113"/>
      <sheetName val="Figure_4_213"/>
      <sheetName val="Common_values15"/>
      <sheetName val="Table_4_115"/>
      <sheetName val="Table_4_215"/>
      <sheetName val="Table_4_315"/>
      <sheetName val="Table_4a15"/>
      <sheetName val="Table_6_215"/>
      <sheetName val="Table_6_315"/>
      <sheetName val="Table_6_415"/>
      <sheetName val="Pivot_4_115"/>
      <sheetName val="Pivot_4_215"/>
      <sheetName val="Pivot_4_3_&amp;_4a15"/>
      <sheetName val="Pivot_6_215"/>
      <sheetName val="Pivot_6_3_&amp;_6_415"/>
      <sheetName val="Figure_4_115"/>
      <sheetName val="Figure_4_215"/>
      <sheetName val="Common_values17"/>
      <sheetName val="Table_4_117"/>
      <sheetName val="Table_4_217"/>
      <sheetName val="Table_4_317"/>
      <sheetName val="Table_4a17"/>
      <sheetName val="Table_6_217"/>
      <sheetName val="Table_6_317"/>
      <sheetName val="Table_6_417"/>
      <sheetName val="Pivot_4_117"/>
      <sheetName val="Pivot_4_217"/>
      <sheetName val="Pivot_4_3_&amp;_4a17"/>
      <sheetName val="Pivot_6_217"/>
      <sheetName val="Pivot_6_3_&amp;_6_417"/>
      <sheetName val="Figure_4_117"/>
      <sheetName val="Figure_4_217"/>
      <sheetName val="Common_values19"/>
      <sheetName val="Table_4_119"/>
      <sheetName val="Table_4_219"/>
      <sheetName val="Table_4_319"/>
      <sheetName val="Table_4a19"/>
      <sheetName val="Table_6_219"/>
      <sheetName val="Table_6_319"/>
      <sheetName val="Table_6_419"/>
      <sheetName val="Pivot_4_119"/>
      <sheetName val="Pivot_4_219"/>
      <sheetName val="Pivot_4_3_&amp;_4a19"/>
      <sheetName val="Pivot_6_219"/>
      <sheetName val="Pivot_6_3_&amp;_6_419"/>
      <sheetName val="Figure_4_119"/>
      <sheetName val="Figure_4_219"/>
      <sheetName val="Common_values18"/>
      <sheetName val="Table_4_118"/>
      <sheetName val="Table_4_218"/>
      <sheetName val="Table_4_318"/>
      <sheetName val="Table_4a18"/>
      <sheetName val="Table_6_218"/>
      <sheetName val="Table_6_318"/>
      <sheetName val="Table_6_418"/>
      <sheetName val="Pivot_4_118"/>
      <sheetName val="Pivot_4_218"/>
      <sheetName val="Pivot_4_3_&amp;_4a18"/>
      <sheetName val="Pivot_6_218"/>
      <sheetName val="Pivot_6_3_&amp;_6_418"/>
      <sheetName val="Figure_4_118"/>
      <sheetName val="Figure_4_218"/>
      <sheetName val="Table_Q4_3"/>
      <sheetName val="LAForceData"/>
      <sheetName val="Areas_cautions"/>
      <sheetName val="Table_3_7"/>
      <sheetName val="region_county_and_court"/>
      <sheetName val="Ineffective"/>
      <sheetName val="3_6_and_3_7_pivot"/>
      <sheetName val="Table_3_6"/>
      <sheetName val="NEW"/>
      <sheetName val="Sep_-_Nov_01"/>
      <sheetName val="OffencesSummary"/>
      <sheetName val="OLD"/>
      <sheetName val="5d_TIC_summary"/>
      <sheetName val="Orders"/>
      <sheetName val="Table_Q4a"/>
      <sheetName val="PYO"/>
      <sheetName val="Table_3_5"/>
      <sheetName val="Table_3_4"/>
      <sheetName val="Table_Q4_31"/>
      <sheetName val="Areas_cautions1"/>
      <sheetName val="Table_3_71"/>
      <sheetName val="region_county_and_court1"/>
      <sheetName val="3_6_and_3_7_pivot1"/>
      <sheetName val="Table_3_61"/>
      <sheetName val="Sep_-_Nov_011"/>
      <sheetName val="5d_TIC_summary1"/>
      <sheetName val="Table_Q4a1"/>
      <sheetName val="Table_3_51"/>
      <sheetName val="Table_3_41"/>
      <sheetName val="Table_Q4_35"/>
      <sheetName val="Areas_cautions5"/>
      <sheetName val="Table_3_75"/>
      <sheetName val="region_county_and_court5"/>
      <sheetName val="3_6_and_3_7_pivot5"/>
      <sheetName val="Table_3_65"/>
      <sheetName val="Sep_-_Nov_015"/>
      <sheetName val="5d_TIC_summary5"/>
      <sheetName val="Table_Q4a5"/>
      <sheetName val="Table_3_55"/>
      <sheetName val="Table_3_45"/>
      <sheetName val="Table_Q4_32"/>
      <sheetName val="Areas_cautions2"/>
      <sheetName val="Table_3_72"/>
      <sheetName val="region_county_and_court2"/>
      <sheetName val="3_6_and_3_7_pivot2"/>
      <sheetName val="Table_3_62"/>
      <sheetName val="Sep_-_Nov_012"/>
      <sheetName val="5d_TIC_summary2"/>
      <sheetName val="Table_Q4a2"/>
      <sheetName val="Table_3_52"/>
      <sheetName val="Table_3_42"/>
      <sheetName val="Table_Q4_33"/>
      <sheetName val="Areas_cautions3"/>
      <sheetName val="Table_3_73"/>
      <sheetName val="region_county_and_court3"/>
      <sheetName val="3_6_and_3_7_pivot3"/>
      <sheetName val="Table_3_63"/>
      <sheetName val="Sep_-_Nov_013"/>
      <sheetName val="5d_TIC_summary3"/>
      <sheetName val="Table_Q4a3"/>
      <sheetName val="Table_3_53"/>
      <sheetName val="Table_3_43"/>
      <sheetName val="Table_Q4_34"/>
      <sheetName val="Areas_cautions4"/>
      <sheetName val="Table_3_74"/>
      <sheetName val="region_county_and_court4"/>
      <sheetName val="3_6_and_3_7_pivot4"/>
      <sheetName val="Table_3_64"/>
      <sheetName val="Sep_-_Nov_014"/>
      <sheetName val="5d_TIC_summary4"/>
      <sheetName val="Table_Q4a4"/>
      <sheetName val="Table_3_54"/>
      <sheetName val="Table_3_44"/>
      <sheetName val="Table_Q4_36"/>
      <sheetName val="Areas_cautions6"/>
      <sheetName val="Table_3_76"/>
      <sheetName val="region_county_and_court6"/>
      <sheetName val="3_6_and_3_7_pivot6"/>
      <sheetName val="Table_3_66"/>
      <sheetName val="Sep_-_Nov_016"/>
      <sheetName val="5d_TIC_summary6"/>
      <sheetName val="Table_Q4a6"/>
      <sheetName val="Table_3_56"/>
      <sheetName val="Table_3_46"/>
      <sheetName val="Table_Q4_37"/>
      <sheetName val="Areas_cautions7"/>
      <sheetName val="Table_3_77"/>
      <sheetName val="region_county_and_court7"/>
      <sheetName val="3_6_and_3_7_pivot7"/>
      <sheetName val="Table_3_67"/>
      <sheetName val="Sep_-_Nov_017"/>
      <sheetName val="5d_TIC_summary7"/>
      <sheetName val="Table_Q4a7"/>
      <sheetName val="Table_3_57"/>
      <sheetName val="Table_3_47"/>
      <sheetName val="Drop-down_lists"/>
      <sheetName val="Common_values26"/>
      <sheetName val="Table_4_126"/>
      <sheetName val="Table_4_226"/>
      <sheetName val="Table_4_326"/>
      <sheetName val="Table_4a26"/>
      <sheetName val="Table_6_226"/>
      <sheetName val="Table_6_326"/>
      <sheetName val="Table_6_426"/>
      <sheetName val="Pivot_4_126"/>
      <sheetName val="Pivot_4_226"/>
      <sheetName val="Pivot_4_3_&amp;_4a26"/>
      <sheetName val="Pivot_6_226"/>
      <sheetName val="Pivot_6_3_&amp;_6_426"/>
      <sheetName val="Figure_4_126"/>
      <sheetName val="Figure_4_226"/>
      <sheetName val="Table_Q4_316"/>
      <sheetName val="Areas_cautions16"/>
      <sheetName val="Table_3_716"/>
      <sheetName val="region_county_and_court16"/>
      <sheetName val="3_6_and_3_7_pivot16"/>
      <sheetName val="Table_3_616"/>
      <sheetName val="Sep_-_Nov_0116"/>
      <sheetName val="5d_TIC_summary16"/>
      <sheetName val="Table_Q4a16"/>
      <sheetName val="Table_3_516"/>
      <sheetName val="Table_3_416"/>
      <sheetName val="Common_values20"/>
      <sheetName val="Table_4_120"/>
      <sheetName val="Table_4_220"/>
      <sheetName val="Table_4_320"/>
      <sheetName val="Table_4a20"/>
      <sheetName val="Table_6_220"/>
      <sheetName val="Table_6_320"/>
      <sheetName val="Table_6_420"/>
      <sheetName val="Pivot_4_120"/>
      <sheetName val="Pivot_4_220"/>
      <sheetName val="Pivot_4_3_&amp;_4a20"/>
      <sheetName val="Pivot_6_220"/>
      <sheetName val="Pivot_6_3_&amp;_6_420"/>
      <sheetName val="Figure_4_120"/>
      <sheetName val="Figure_4_220"/>
      <sheetName val="Table_Q4_310"/>
      <sheetName val="Areas_cautions10"/>
      <sheetName val="Table_3_710"/>
      <sheetName val="region_county_and_court10"/>
      <sheetName val="3_6_and_3_7_pivot10"/>
      <sheetName val="Table_3_610"/>
      <sheetName val="Sep_-_Nov_0110"/>
      <sheetName val="5d_TIC_summary10"/>
      <sheetName val="Table_Q4a10"/>
      <sheetName val="Table_3_510"/>
      <sheetName val="Table_3_410"/>
      <sheetName val="Table_Q4_39"/>
      <sheetName val="Areas_cautions9"/>
      <sheetName val="Table_3_79"/>
      <sheetName val="region_county_and_court9"/>
      <sheetName val="3_6_and_3_7_pivot9"/>
      <sheetName val="Table_3_69"/>
      <sheetName val="Sep_-_Nov_019"/>
      <sheetName val="5d_TIC_summary9"/>
      <sheetName val="Table_Q4a9"/>
      <sheetName val="Table_3_59"/>
      <sheetName val="Table_3_49"/>
      <sheetName val="Table_Q4_38"/>
      <sheetName val="Areas_cautions8"/>
      <sheetName val="Table_3_78"/>
      <sheetName val="region_county_and_court8"/>
      <sheetName val="3_6_and_3_7_pivot8"/>
      <sheetName val="Table_3_68"/>
      <sheetName val="Sep_-_Nov_018"/>
      <sheetName val="5d_TIC_summary8"/>
      <sheetName val="Table_Q4a8"/>
      <sheetName val="Table_3_58"/>
      <sheetName val="Table_3_48"/>
      <sheetName val="Common_values23"/>
      <sheetName val="Table_4_123"/>
      <sheetName val="Table_4_223"/>
      <sheetName val="Table_4_323"/>
      <sheetName val="Table_4a23"/>
      <sheetName val="Table_6_223"/>
      <sheetName val="Table_6_323"/>
      <sheetName val="Table_6_423"/>
      <sheetName val="Pivot_4_123"/>
      <sheetName val="Pivot_4_223"/>
      <sheetName val="Pivot_4_3_&amp;_4a23"/>
      <sheetName val="Pivot_6_223"/>
      <sheetName val="Pivot_6_3_&amp;_6_423"/>
      <sheetName val="Figure_4_123"/>
      <sheetName val="Figure_4_223"/>
      <sheetName val="Table_Q4_313"/>
      <sheetName val="Areas_cautions13"/>
      <sheetName val="Table_3_713"/>
      <sheetName val="region_county_and_court13"/>
      <sheetName val="3_6_and_3_7_pivot13"/>
      <sheetName val="Table_3_613"/>
      <sheetName val="Sep_-_Nov_0113"/>
      <sheetName val="5d_TIC_summary13"/>
      <sheetName val="Table_Q4a13"/>
      <sheetName val="Table_3_513"/>
      <sheetName val="Table_3_413"/>
      <sheetName val="Common_values21"/>
      <sheetName val="Table_4_121"/>
      <sheetName val="Table_4_221"/>
      <sheetName val="Table_4_321"/>
      <sheetName val="Table_4a21"/>
      <sheetName val="Table_6_221"/>
      <sheetName val="Table_6_321"/>
      <sheetName val="Table_6_421"/>
      <sheetName val="Pivot_4_121"/>
      <sheetName val="Pivot_4_221"/>
      <sheetName val="Pivot_4_3_&amp;_4a21"/>
      <sheetName val="Pivot_6_221"/>
      <sheetName val="Pivot_6_3_&amp;_6_421"/>
      <sheetName val="Figure_4_121"/>
      <sheetName val="Figure_4_221"/>
      <sheetName val="Table_Q4_311"/>
      <sheetName val="Areas_cautions11"/>
      <sheetName val="Table_3_711"/>
      <sheetName val="region_county_and_court11"/>
      <sheetName val="3_6_and_3_7_pivot11"/>
      <sheetName val="Table_3_611"/>
      <sheetName val="Sep_-_Nov_0111"/>
      <sheetName val="5d_TIC_summary11"/>
      <sheetName val="Table_Q4a11"/>
      <sheetName val="Table_3_511"/>
      <sheetName val="Table_3_411"/>
      <sheetName val="Common_values22"/>
      <sheetName val="Table_4_122"/>
      <sheetName val="Table_4_222"/>
      <sheetName val="Table_4_322"/>
      <sheetName val="Table_4a22"/>
      <sheetName val="Table_6_222"/>
      <sheetName val="Table_6_322"/>
      <sheetName val="Table_6_422"/>
      <sheetName val="Pivot_4_122"/>
      <sheetName val="Pivot_4_222"/>
      <sheetName val="Pivot_4_3_&amp;_4a22"/>
      <sheetName val="Pivot_6_222"/>
      <sheetName val="Pivot_6_3_&amp;_6_422"/>
      <sheetName val="Figure_4_122"/>
      <sheetName val="Figure_4_222"/>
      <sheetName val="Table_Q4_312"/>
      <sheetName val="Areas_cautions12"/>
      <sheetName val="Table_3_712"/>
      <sheetName val="region_county_and_court12"/>
      <sheetName val="3_6_and_3_7_pivot12"/>
      <sheetName val="Table_3_612"/>
      <sheetName val="Sep_-_Nov_0112"/>
      <sheetName val="5d_TIC_summary12"/>
      <sheetName val="Table_Q4a12"/>
      <sheetName val="Table_3_512"/>
      <sheetName val="Table_3_412"/>
      <sheetName val="Common_values25"/>
      <sheetName val="Table_4_125"/>
      <sheetName val="Table_4_225"/>
      <sheetName val="Table_4_325"/>
      <sheetName val="Table_4a25"/>
      <sheetName val="Table_6_225"/>
      <sheetName val="Table_6_325"/>
      <sheetName val="Table_6_425"/>
      <sheetName val="Pivot_4_125"/>
      <sheetName val="Pivot_4_225"/>
      <sheetName val="Pivot_4_3_&amp;_4a25"/>
      <sheetName val="Pivot_6_225"/>
      <sheetName val="Pivot_6_3_&amp;_6_425"/>
      <sheetName val="Figure_4_125"/>
      <sheetName val="Figure_4_225"/>
      <sheetName val="Table_Q4_315"/>
      <sheetName val="Areas_cautions15"/>
      <sheetName val="Table_3_715"/>
      <sheetName val="region_county_and_court15"/>
      <sheetName val="3_6_and_3_7_pivot15"/>
      <sheetName val="Table_3_615"/>
      <sheetName val="Sep_-_Nov_0115"/>
      <sheetName val="5d_TIC_summary15"/>
      <sheetName val="Table_Q4a15"/>
      <sheetName val="Table_3_515"/>
      <sheetName val="Table_3_415"/>
      <sheetName val="Common_values24"/>
      <sheetName val="Table_4_124"/>
      <sheetName val="Table_4_224"/>
      <sheetName val="Table_4_324"/>
      <sheetName val="Table_4a24"/>
      <sheetName val="Table_6_224"/>
      <sheetName val="Table_6_324"/>
      <sheetName val="Table_6_424"/>
      <sheetName val="Pivot_4_124"/>
      <sheetName val="Pivot_4_224"/>
      <sheetName val="Pivot_4_3_&amp;_4a24"/>
      <sheetName val="Pivot_6_224"/>
      <sheetName val="Pivot_6_3_&amp;_6_424"/>
      <sheetName val="Figure_4_124"/>
      <sheetName val="Figure_4_224"/>
      <sheetName val="Table_Q4_314"/>
      <sheetName val="Areas_cautions14"/>
      <sheetName val="Table_3_714"/>
      <sheetName val="region_county_and_court14"/>
      <sheetName val="3_6_and_3_7_pivot14"/>
      <sheetName val="Table_3_614"/>
      <sheetName val="Sep_-_Nov_0114"/>
      <sheetName val="5d_TIC_summary14"/>
      <sheetName val="Table_Q4a14"/>
      <sheetName val="Table_3_514"/>
      <sheetName val="Table_3_414"/>
      <sheetName val="Common_values27"/>
      <sheetName val="Table_4_127"/>
      <sheetName val="Table_4_227"/>
      <sheetName val="Table_4_327"/>
      <sheetName val="Table_4a27"/>
      <sheetName val="Table_6_227"/>
      <sheetName val="Table_6_327"/>
      <sheetName val="Table_6_427"/>
      <sheetName val="Pivot_4_127"/>
      <sheetName val="Pivot_4_227"/>
      <sheetName val="Pivot_4_3_&amp;_4a27"/>
      <sheetName val="Pivot_6_227"/>
      <sheetName val="Pivot_6_3_&amp;_6_427"/>
      <sheetName val="Figure_4_127"/>
      <sheetName val="Figure_4_227"/>
      <sheetName val="Table_Q4_317"/>
      <sheetName val="Areas_cautions17"/>
      <sheetName val="Table_3_717"/>
      <sheetName val="region_county_and_court17"/>
      <sheetName val="3_6_and_3_7_pivot17"/>
      <sheetName val="Table_3_617"/>
      <sheetName val="Sep_-_Nov_0117"/>
      <sheetName val="5d_TIC_summary17"/>
      <sheetName val="Table_Q4a17"/>
      <sheetName val="Table_3_517"/>
      <sheetName val="Table_3_417"/>
      <sheetName val="Common_values28"/>
      <sheetName val="Table_4_128"/>
      <sheetName val="Table_4_228"/>
      <sheetName val="Table_4_328"/>
      <sheetName val="Table_4a28"/>
      <sheetName val="Table_6_228"/>
      <sheetName val="Table_6_328"/>
      <sheetName val="Table_6_428"/>
      <sheetName val="Pivot_4_128"/>
      <sheetName val="Pivot_4_228"/>
      <sheetName val="Pivot_4_3_&amp;_4a28"/>
      <sheetName val="Pivot_6_228"/>
      <sheetName val="Pivot_6_3_&amp;_6_428"/>
      <sheetName val="Figure_4_128"/>
      <sheetName val="Figure_4_228"/>
      <sheetName val="Table_Q4_318"/>
      <sheetName val="Areas_cautions18"/>
      <sheetName val="Table_3_718"/>
      <sheetName val="region_county_and_court18"/>
      <sheetName val="3_6_and_3_7_pivot18"/>
      <sheetName val="Table_3_618"/>
      <sheetName val="Sep_-_Nov_0118"/>
      <sheetName val="5d_TIC_summary18"/>
      <sheetName val="Table_Q4a18"/>
      <sheetName val="Table_3_518"/>
      <sheetName val="Table_3_418"/>
      <sheetName val="Common_values33"/>
      <sheetName val="Table_4_133"/>
      <sheetName val="Table_4_233"/>
      <sheetName val="Table_4_333"/>
      <sheetName val="Table_4a33"/>
      <sheetName val="Table_6_233"/>
      <sheetName val="Table_6_333"/>
      <sheetName val="Table_6_433"/>
      <sheetName val="Pivot_4_133"/>
      <sheetName val="Pivot_4_233"/>
      <sheetName val="Pivot_4_3_&amp;_4a33"/>
      <sheetName val="Pivot_6_233"/>
      <sheetName val="Pivot_6_3_&amp;_6_433"/>
      <sheetName val="Figure_4_133"/>
      <sheetName val="Figure_4_233"/>
      <sheetName val="Table_Q4_323"/>
      <sheetName val="Areas_cautions23"/>
      <sheetName val="Table_3_723"/>
      <sheetName val="region_county_and_court23"/>
      <sheetName val="3_6_and_3_7_pivot23"/>
      <sheetName val="Table_3_623"/>
      <sheetName val="Sep_-_Nov_0123"/>
      <sheetName val="5d_TIC_summary23"/>
      <sheetName val="Table_Q4a23"/>
      <sheetName val="Table_3_523"/>
      <sheetName val="Table_3_423"/>
      <sheetName val="Common_values29"/>
      <sheetName val="Table_4_129"/>
      <sheetName val="Table_4_229"/>
      <sheetName val="Table_4_329"/>
      <sheetName val="Table_4a29"/>
      <sheetName val="Table_6_229"/>
      <sheetName val="Table_6_329"/>
      <sheetName val="Table_6_429"/>
      <sheetName val="Pivot_4_129"/>
      <sheetName val="Pivot_4_229"/>
      <sheetName val="Pivot_4_3_&amp;_4a29"/>
      <sheetName val="Pivot_6_229"/>
      <sheetName val="Pivot_6_3_&amp;_6_429"/>
      <sheetName val="Figure_4_129"/>
      <sheetName val="Figure_4_229"/>
      <sheetName val="Table_Q4_319"/>
      <sheetName val="Areas_cautions19"/>
      <sheetName val="Table_3_719"/>
      <sheetName val="region_county_and_court19"/>
      <sheetName val="3_6_and_3_7_pivot19"/>
      <sheetName val="Table_3_619"/>
      <sheetName val="Sep_-_Nov_0119"/>
      <sheetName val="5d_TIC_summary19"/>
      <sheetName val="Table_Q4a19"/>
      <sheetName val="Table_3_519"/>
      <sheetName val="Table_3_419"/>
      <sheetName val="Common_values30"/>
      <sheetName val="Table_4_130"/>
      <sheetName val="Table_4_230"/>
      <sheetName val="Table_4_330"/>
      <sheetName val="Table_4a30"/>
      <sheetName val="Table_6_230"/>
      <sheetName val="Table_6_330"/>
      <sheetName val="Table_6_430"/>
      <sheetName val="Pivot_4_130"/>
      <sheetName val="Pivot_4_230"/>
      <sheetName val="Pivot_4_3_&amp;_4a30"/>
      <sheetName val="Pivot_6_230"/>
      <sheetName val="Pivot_6_3_&amp;_6_430"/>
      <sheetName val="Figure_4_130"/>
      <sheetName val="Figure_4_230"/>
      <sheetName val="Table_Q4_320"/>
      <sheetName val="Areas_cautions20"/>
      <sheetName val="Table_3_720"/>
      <sheetName val="region_county_and_court20"/>
      <sheetName val="3_6_and_3_7_pivot20"/>
      <sheetName val="Table_3_620"/>
      <sheetName val="Sep_-_Nov_0120"/>
      <sheetName val="5d_TIC_summary20"/>
      <sheetName val="Table_Q4a20"/>
      <sheetName val="Table_3_520"/>
      <sheetName val="Table_3_420"/>
      <sheetName val="Common_values32"/>
      <sheetName val="Table_4_132"/>
      <sheetName val="Table_4_232"/>
      <sheetName val="Table_4_332"/>
      <sheetName val="Table_4a32"/>
      <sheetName val="Table_6_232"/>
      <sheetName val="Table_6_332"/>
      <sheetName val="Table_6_432"/>
      <sheetName val="Pivot_4_132"/>
      <sheetName val="Pivot_4_232"/>
      <sheetName val="Pivot_4_3_&amp;_4a32"/>
      <sheetName val="Pivot_6_232"/>
      <sheetName val="Pivot_6_3_&amp;_6_432"/>
      <sheetName val="Figure_4_132"/>
      <sheetName val="Figure_4_232"/>
      <sheetName val="Table_Q4_322"/>
      <sheetName val="Areas_cautions22"/>
      <sheetName val="Table_3_722"/>
      <sheetName val="region_county_and_court22"/>
      <sheetName val="3_6_and_3_7_pivot22"/>
      <sheetName val="Table_3_622"/>
      <sheetName val="Sep_-_Nov_0122"/>
      <sheetName val="5d_TIC_summary22"/>
      <sheetName val="Table_Q4a22"/>
      <sheetName val="Table_3_522"/>
      <sheetName val="Table_3_422"/>
      <sheetName val="Common_values31"/>
      <sheetName val="Table_4_131"/>
      <sheetName val="Table_4_231"/>
      <sheetName val="Table_4_331"/>
      <sheetName val="Table_4a31"/>
      <sheetName val="Table_6_231"/>
      <sheetName val="Table_6_331"/>
      <sheetName val="Table_6_431"/>
      <sheetName val="Pivot_4_131"/>
      <sheetName val="Pivot_4_231"/>
      <sheetName val="Pivot_4_3_&amp;_4a31"/>
      <sheetName val="Pivot_6_231"/>
      <sheetName val="Pivot_6_3_&amp;_6_431"/>
      <sheetName val="Figure_4_131"/>
      <sheetName val="Figure_4_231"/>
      <sheetName val="Table_Q4_321"/>
      <sheetName val="Areas_cautions21"/>
      <sheetName val="Table_3_721"/>
      <sheetName val="region_county_and_court21"/>
      <sheetName val="3_6_and_3_7_pivot21"/>
      <sheetName val="Table_3_621"/>
      <sheetName val="Sep_-_Nov_0121"/>
      <sheetName val="5d_TIC_summary21"/>
      <sheetName val="Table_Q4a21"/>
      <sheetName val="Table_3_521"/>
      <sheetName val="Table_3_421"/>
      <sheetName val="Common_values36"/>
      <sheetName val="Table_4_136"/>
      <sheetName val="Table_4_236"/>
      <sheetName val="Table_4_336"/>
      <sheetName val="Table_4a36"/>
      <sheetName val="Table_6_236"/>
      <sheetName val="Table_6_336"/>
      <sheetName val="Table_6_436"/>
      <sheetName val="Pivot_4_136"/>
      <sheetName val="Pivot_4_236"/>
      <sheetName val="Pivot_4_3_&amp;_4a36"/>
      <sheetName val="Pivot_6_236"/>
      <sheetName val="Pivot_6_3_&amp;_6_436"/>
      <sheetName val="Figure_4_136"/>
      <sheetName val="Figure_4_236"/>
      <sheetName val="Table_Q4_325"/>
      <sheetName val="Areas_cautions25"/>
      <sheetName val="Table_3_725"/>
      <sheetName val="region_county_and_court25"/>
      <sheetName val="3_6_and_3_7_pivot25"/>
      <sheetName val="Table_3_625"/>
      <sheetName val="Sep_-_Nov_0125"/>
      <sheetName val="5d_TIC_summary25"/>
      <sheetName val="Table_Q4a25"/>
      <sheetName val="Table_3_525"/>
      <sheetName val="Table_3_425"/>
      <sheetName val="Common_values34"/>
      <sheetName val="Table_4_134"/>
      <sheetName val="Table_4_234"/>
      <sheetName val="Table_4_334"/>
      <sheetName val="Table_4a34"/>
      <sheetName val="Table_6_234"/>
      <sheetName val="Table_6_334"/>
      <sheetName val="Table_6_434"/>
      <sheetName val="Pivot_4_134"/>
      <sheetName val="Pivot_4_234"/>
      <sheetName val="Pivot_4_3_&amp;_4a34"/>
      <sheetName val="Pivot_6_234"/>
      <sheetName val="Pivot_6_3_&amp;_6_434"/>
      <sheetName val="Figure_4_134"/>
      <sheetName val="Figure_4_234"/>
      <sheetName val="Common_values35"/>
      <sheetName val="Table_4_135"/>
      <sheetName val="Table_4_235"/>
      <sheetName val="Table_4_335"/>
      <sheetName val="Table_4a35"/>
      <sheetName val="Table_6_235"/>
      <sheetName val="Table_6_335"/>
      <sheetName val="Table_6_435"/>
      <sheetName val="Pivot_4_135"/>
      <sheetName val="Pivot_4_235"/>
      <sheetName val="Pivot_4_3_&amp;_4a35"/>
      <sheetName val="Pivot_6_235"/>
      <sheetName val="Pivot_6_3_&amp;_6_435"/>
      <sheetName val="Figure_4_135"/>
      <sheetName val="Figure_4_235"/>
      <sheetName val="Table_Q4_324"/>
      <sheetName val="Areas_cautions24"/>
      <sheetName val="Table_3_724"/>
      <sheetName val="region_county_and_court24"/>
      <sheetName val="3_6_and_3_7_pivot24"/>
      <sheetName val="Table_3_624"/>
      <sheetName val="Sep_-_Nov_0124"/>
      <sheetName val="5d_TIC_summary24"/>
      <sheetName val="Table_Q4a24"/>
      <sheetName val="Table_3_524"/>
      <sheetName val="Table_3_424"/>
      <sheetName val="Common_values48"/>
      <sheetName val="Table_4_148"/>
      <sheetName val="Table_4_248"/>
      <sheetName val="Table_4_348"/>
      <sheetName val="Table_4a48"/>
      <sheetName val="Table_6_248"/>
      <sheetName val="Table_6_348"/>
      <sheetName val="Table_6_448"/>
      <sheetName val="Pivot_4_148"/>
      <sheetName val="Pivot_4_248"/>
      <sheetName val="Pivot_4_3_&amp;_4a48"/>
      <sheetName val="Pivot_6_248"/>
      <sheetName val="Pivot_6_3_&amp;_6_448"/>
      <sheetName val="Figure_4_148"/>
      <sheetName val="Figure_4_248"/>
      <sheetName val="Table_Q4_337"/>
      <sheetName val="Areas_cautions37"/>
      <sheetName val="Table_3_737"/>
      <sheetName val="region_county_and_court37"/>
      <sheetName val="3_6_and_3_7_pivot37"/>
      <sheetName val="Table_3_637"/>
      <sheetName val="Sep_-_Nov_0137"/>
      <sheetName val="5d_TIC_summary37"/>
      <sheetName val="Table_Q4a37"/>
      <sheetName val="Table_3_537"/>
      <sheetName val="Table_3_437"/>
      <sheetName val="Common_values37"/>
      <sheetName val="Table_4_137"/>
      <sheetName val="Table_4_237"/>
      <sheetName val="Table_4_337"/>
      <sheetName val="Table_4a37"/>
      <sheetName val="Table_6_237"/>
      <sheetName val="Table_6_337"/>
      <sheetName val="Table_6_437"/>
      <sheetName val="Pivot_4_137"/>
      <sheetName val="Pivot_4_237"/>
      <sheetName val="Pivot_4_3_&amp;_4a37"/>
      <sheetName val="Pivot_6_237"/>
      <sheetName val="Pivot_6_3_&amp;_6_437"/>
      <sheetName val="Figure_4_137"/>
      <sheetName val="Figure_4_237"/>
      <sheetName val="Table_Q4_326"/>
      <sheetName val="Areas_cautions26"/>
      <sheetName val="Table_3_726"/>
      <sheetName val="region_county_and_court26"/>
      <sheetName val="3_6_and_3_7_pivot26"/>
      <sheetName val="Table_3_626"/>
      <sheetName val="Sep_-_Nov_0126"/>
      <sheetName val="5d_TIC_summary26"/>
      <sheetName val="Table_Q4a26"/>
      <sheetName val="Table_3_526"/>
      <sheetName val="Table_3_426"/>
      <sheetName val="Common_values38"/>
      <sheetName val="Table_4_138"/>
      <sheetName val="Table_4_238"/>
      <sheetName val="Table_4_338"/>
      <sheetName val="Table_4a38"/>
      <sheetName val="Table_6_238"/>
      <sheetName val="Table_6_338"/>
      <sheetName val="Table_6_438"/>
      <sheetName val="Pivot_4_138"/>
      <sheetName val="Pivot_4_238"/>
      <sheetName val="Pivot_4_3_&amp;_4a38"/>
      <sheetName val="Pivot_6_238"/>
      <sheetName val="Pivot_6_3_&amp;_6_438"/>
      <sheetName val="Figure_4_138"/>
      <sheetName val="Figure_4_238"/>
      <sheetName val="Table_Q4_327"/>
      <sheetName val="Areas_cautions27"/>
      <sheetName val="Table_3_727"/>
      <sheetName val="region_county_and_court27"/>
      <sheetName val="3_6_and_3_7_pivot27"/>
      <sheetName val="Table_3_627"/>
      <sheetName val="Sep_-_Nov_0127"/>
      <sheetName val="5d_TIC_summary27"/>
      <sheetName val="Table_Q4a27"/>
      <sheetName val="Table_3_527"/>
      <sheetName val="Table_3_427"/>
      <sheetName val="Common_values39"/>
      <sheetName val="Table_4_139"/>
      <sheetName val="Table_4_239"/>
      <sheetName val="Table_4_339"/>
      <sheetName val="Table_4a39"/>
      <sheetName val="Table_6_239"/>
      <sheetName val="Table_6_339"/>
      <sheetName val="Table_6_439"/>
      <sheetName val="Pivot_4_139"/>
      <sheetName val="Pivot_4_239"/>
      <sheetName val="Pivot_4_3_&amp;_4a39"/>
      <sheetName val="Pivot_6_239"/>
      <sheetName val="Pivot_6_3_&amp;_6_439"/>
      <sheetName val="Figure_4_139"/>
      <sheetName val="Figure_4_239"/>
      <sheetName val="Table_Q4_328"/>
      <sheetName val="Areas_cautions28"/>
      <sheetName val="Table_3_728"/>
      <sheetName val="region_county_and_court28"/>
      <sheetName val="3_6_and_3_7_pivot28"/>
      <sheetName val="Table_3_628"/>
      <sheetName val="Sep_-_Nov_0128"/>
      <sheetName val="5d_TIC_summary28"/>
      <sheetName val="Table_Q4a28"/>
      <sheetName val="Table_3_528"/>
      <sheetName val="Table_3_428"/>
      <sheetName val="Common_values40"/>
      <sheetName val="Table_4_140"/>
      <sheetName val="Table_4_240"/>
      <sheetName val="Table_4_340"/>
      <sheetName val="Table_4a40"/>
      <sheetName val="Table_6_240"/>
      <sheetName val="Table_6_340"/>
      <sheetName val="Table_6_440"/>
      <sheetName val="Pivot_4_140"/>
      <sheetName val="Pivot_4_240"/>
      <sheetName val="Pivot_4_3_&amp;_4a40"/>
      <sheetName val="Pivot_6_240"/>
      <sheetName val="Pivot_6_3_&amp;_6_440"/>
      <sheetName val="Figure_4_140"/>
      <sheetName val="Figure_4_240"/>
      <sheetName val="Table_Q4_329"/>
      <sheetName val="Areas_cautions29"/>
      <sheetName val="Table_3_729"/>
      <sheetName val="region_county_and_court29"/>
      <sheetName val="3_6_and_3_7_pivot29"/>
      <sheetName val="Table_3_629"/>
      <sheetName val="Sep_-_Nov_0129"/>
      <sheetName val="5d_TIC_summary29"/>
      <sheetName val="Table_Q4a29"/>
      <sheetName val="Table_3_529"/>
      <sheetName val="Table_3_429"/>
      <sheetName val="Common_values41"/>
      <sheetName val="Table_4_141"/>
      <sheetName val="Table_4_241"/>
      <sheetName val="Table_4_341"/>
      <sheetName val="Table_4a41"/>
      <sheetName val="Table_6_241"/>
      <sheetName val="Table_6_341"/>
      <sheetName val="Table_6_441"/>
      <sheetName val="Pivot_4_141"/>
      <sheetName val="Pivot_4_241"/>
      <sheetName val="Pivot_4_3_&amp;_4a41"/>
      <sheetName val="Pivot_6_241"/>
      <sheetName val="Pivot_6_3_&amp;_6_441"/>
      <sheetName val="Figure_4_141"/>
      <sheetName val="Figure_4_241"/>
      <sheetName val="Table_Q4_330"/>
      <sheetName val="Areas_cautions30"/>
      <sheetName val="Table_3_730"/>
      <sheetName val="region_county_and_court30"/>
      <sheetName val="3_6_and_3_7_pivot30"/>
      <sheetName val="Table_3_630"/>
      <sheetName val="Sep_-_Nov_0130"/>
      <sheetName val="5d_TIC_summary30"/>
      <sheetName val="Table_Q4a30"/>
      <sheetName val="Table_3_530"/>
      <sheetName val="Table_3_430"/>
      <sheetName val="Common_values42"/>
      <sheetName val="Table_4_142"/>
      <sheetName val="Table_4_242"/>
      <sheetName val="Table_4_342"/>
      <sheetName val="Table_4a42"/>
      <sheetName val="Table_6_242"/>
      <sheetName val="Table_6_342"/>
      <sheetName val="Table_6_442"/>
      <sheetName val="Pivot_4_142"/>
      <sheetName val="Pivot_4_242"/>
      <sheetName val="Pivot_4_3_&amp;_4a42"/>
      <sheetName val="Pivot_6_242"/>
      <sheetName val="Pivot_6_3_&amp;_6_442"/>
      <sheetName val="Figure_4_142"/>
      <sheetName val="Figure_4_242"/>
      <sheetName val="Table_Q4_331"/>
      <sheetName val="Areas_cautions31"/>
      <sheetName val="Table_3_731"/>
      <sheetName val="region_county_and_court31"/>
      <sheetName val="3_6_and_3_7_pivot31"/>
      <sheetName val="Table_3_631"/>
      <sheetName val="Sep_-_Nov_0131"/>
      <sheetName val="5d_TIC_summary31"/>
      <sheetName val="Table_Q4a31"/>
      <sheetName val="Table_3_531"/>
      <sheetName val="Table_3_431"/>
      <sheetName val="Common_values43"/>
      <sheetName val="Table_4_143"/>
      <sheetName val="Table_4_243"/>
      <sheetName val="Table_4_343"/>
      <sheetName val="Table_4a43"/>
      <sheetName val="Table_6_243"/>
      <sheetName val="Table_6_343"/>
      <sheetName val="Table_6_443"/>
      <sheetName val="Pivot_4_143"/>
      <sheetName val="Pivot_4_243"/>
      <sheetName val="Pivot_4_3_&amp;_4a43"/>
      <sheetName val="Pivot_6_243"/>
      <sheetName val="Pivot_6_3_&amp;_6_443"/>
      <sheetName val="Figure_4_143"/>
      <sheetName val="Figure_4_243"/>
      <sheetName val="Table_Q4_332"/>
      <sheetName val="Areas_cautions32"/>
      <sheetName val="Table_3_732"/>
      <sheetName val="region_county_and_court32"/>
      <sheetName val="3_6_and_3_7_pivot32"/>
      <sheetName val="Table_3_632"/>
      <sheetName val="Sep_-_Nov_0132"/>
      <sheetName val="5d_TIC_summary32"/>
      <sheetName val="Table_Q4a32"/>
      <sheetName val="Table_3_532"/>
      <sheetName val="Table_3_432"/>
      <sheetName val="Common_values44"/>
      <sheetName val="Table_4_144"/>
      <sheetName val="Table_4_244"/>
      <sheetName val="Table_4_344"/>
      <sheetName val="Table_4a44"/>
      <sheetName val="Table_6_244"/>
      <sheetName val="Table_6_344"/>
      <sheetName val="Table_6_444"/>
      <sheetName val="Pivot_4_144"/>
      <sheetName val="Pivot_4_244"/>
      <sheetName val="Pivot_4_3_&amp;_4a44"/>
      <sheetName val="Pivot_6_244"/>
      <sheetName val="Pivot_6_3_&amp;_6_444"/>
      <sheetName val="Figure_4_144"/>
      <sheetName val="Figure_4_244"/>
      <sheetName val="Table_Q4_333"/>
      <sheetName val="Areas_cautions33"/>
      <sheetName val="Table_3_733"/>
      <sheetName val="region_county_and_court33"/>
      <sheetName val="3_6_and_3_7_pivot33"/>
      <sheetName val="Table_3_633"/>
      <sheetName val="Sep_-_Nov_0133"/>
      <sheetName val="5d_TIC_summary33"/>
      <sheetName val="Table_Q4a33"/>
      <sheetName val="Table_3_533"/>
      <sheetName val="Table_3_433"/>
      <sheetName val="Common_values45"/>
      <sheetName val="Table_4_145"/>
      <sheetName val="Table_4_245"/>
      <sheetName val="Table_4_345"/>
      <sheetName val="Table_4a45"/>
      <sheetName val="Table_6_245"/>
      <sheetName val="Table_6_345"/>
      <sheetName val="Table_6_445"/>
      <sheetName val="Pivot_4_145"/>
      <sheetName val="Pivot_4_245"/>
      <sheetName val="Pivot_4_3_&amp;_4a45"/>
      <sheetName val="Pivot_6_245"/>
      <sheetName val="Pivot_6_3_&amp;_6_445"/>
      <sheetName val="Figure_4_145"/>
      <sheetName val="Figure_4_245"/>
      <sheetName val="Table_Q4_334"/>
      <sheetName val="Areas_cautions34"/>
      <sheetName val="Table_3_734"/>
      <sheetName val="region_county_and_court34"/>
      <sheetName val="3_6_and_3_7_pivot34"/>
      <sheetName val="Table_3_634"/>
      <sheetName val="Sep_-_Nov_0134"/>
      <sheetName val="5d_TIC_summary34"/>
      <sheetName val="Table_Q4a34"/>
      <sheetName val="Table_3_534"/>
      <sheetName val="Table_3_434"/>
      <sheetName val="Common_values47"/>
      <sheetName val="Table_4_147"/>
      <sheetName val="Table_4_247"/>
      <sheetName val="Table_4_347"/>
      <sheetName val="Table_4a47"/>
      <sheetName val="Table_6_247"/>
      <sheetName val="Table_6_347"/>
      <sheetName val="Table_6_447"/>
      <sheetName val="Pivot_4_147"/>
      <sheetName val="Pivot_4_247"/>
      <sheetName val="Pivot_4_3_&amp;_4a47"/>
      <sheetName val="Pivot_6_247"/>
      <sheetName val="Pivot_6_3_&amp;_6_447"/>
      <sheetName val="Figure_4_147"/>
      <sheetName val="Figure_4_247"/>
      <sheetName val="Table_Q4_336"/>
      <sheetName val="Areas_cautions36"/>
      <sheetName val="Table_3_736"/>
      <sheetName val="region_county_and_court36"/>
      <sheetName val="3_6_and_3_7_pivot36"/>
      <sheetName val="Table_3_636"/>
      <sheetName val="Sep_-_Nov_0136"/>
      <sheetName val="5d_TIC_summary36"/>
      <sheetName val="Table_Q4a36"/>
      <sheetName val="Table_3_536"/>
      <sheetName val="Table_3_436"/>
      <sheetName val="Common_values46"/>
      <sheetName val="Table_4_146"/>
      <sheetName val="Table_4_246"/>
      <sheetName val="Table_4_346"/>
      <sheetName val="Table_4a46"/>
      <sheetName val="Table_6_246"/>
      <sheetName val="Table_6_346"/>
      <sheetName val="Table_6_446"/>
      <sheetName val="Pivot_4_146"/>
      <sheetName val="Pivot_4_246"/>
      <sheetName val="Pivot_4_3_&amp;_4a46"/>
      <sheetName val="Pivot_6_246"/>
      <sheetName val="Pivot_6_3_&amp;_6_446"/>
      <sheetName val="Figure_4_146"/>
      <sheetName val="Figure_4_246"/>
      <sheetName val="Table_Q4_335"/>
      <sheetName val="Areas_cautions35"/>
      <sheetName val="Table_3_735"/>
      <sheetName val="region_county_and_court35"/>
      <sheetName val="3_6_and_3_7_pivot35"/>
      <sheetName val="Table_3_635"/>
      <sheetName val="Sep_-_Nov_0135"/>
      <sheetName val="5d_TIC_summary35"/>
      <sheetName val="Table_Q4a35"/>
      <sheetName val="Table_3_535"/>
      <sheetName val="Table_3_435"/>
      <sheetName val="Common_values52"/>
      <sheetName val="Table_4_152"/>
      <sheetName val="Table_4_252"/>
      <sheetName val="Table_4_352"/>
      <sheetName val="Table_4a52"/>
      <sheetName val="Table_6_252"/>
      <sheetName val="Table_6_352"/>
      <sheetName val="Table_6_452"/>
      <sheetName val="Pivot_4_152"/>
      <sheetName val="Pivot_4_252"/>
      <sheetName val="Pivot_4_3_&amp;_4a52"/>
      <sheetName val="Pivot_6_252"/>
      <sheetName val="Pivot_6_3_&amp;_6_452"/>
      <sheetName val="Figure_4_152"/>
      <sheetName val="Figure_4_252"/>
      <sheetName val="Table_Q4_341"/>
      <sheetName val="Areas_cautions41"/>
      <sheetName val="Table_3_741"/>
      <sheetName val="region_county_and_court41"/>
      <sheetName val="3_6_and_3_7_pivot41"/>
      <sheetName val="Table_3_641"/>
      <sheetName val="Sep_-_Nov_0141"/>
      <sheetName val="5d_TIC_summary41"/>
      <sheetName val="Table_Q4a41"/>
      <sheetName val="Table_3_541"/>
      <sheetName val="Table_3_441"/>
      <sheetName val="Common_values51"/>
      <sheetName val="Table_4_151"/>
      <sheetName val="Table_4_251"/>
      <sheetName val="Table_4_351"/>
      <sheetName val="Table_4a51"/>
      <sheetName val="Table_6_251"/>
      <sheetName val="Table_6_351"/>
      <sheetName val="Table_6_451"/>
      <sheetName val="Pivot_4_151"/>
      <sheetName val="Pivot_4_251"/>
      <sheetName val="Pivot_4_3_&amp;_4a51"/>
      <sheetName val="Pivot_6_251"/>
      <sheetName val="Pivot_6_3_&amp;_6_451"/>
      <sheetName val="Figure_4_151"/>
      <sheetName val="Figure_4_251"/>
      <sheetName val="Table_Q4_340"/>
      <sheetName val="Areas_cautions40"/>
      <sheetName val="Table_3_740"/>
      <sheetName val="region_county_and_court40"/>
      <sheetName val="3_6_and_3_7_pivot40"/>
      <sheetName val="Table_3_640"/>
      <sheetName val="Sep_-_Nov_0140"/>
      <sheetName val="5d_TIC_summary40"/>
      <sheetName val="Table_Q4a40"/>
      <sheetName val="Table_3_540"/>
      <sheetName val="Table_3_440"/>
      <sheetName val="Common_values50"/>
      <sheetName val="Table_4_150"/>
      <sheetName val="Table_4_250"/>
      <sheetName val="Table_4_350"/>
      <sheetName val="Table_4a50"/>
      <sheetName val="Table_6_250"/>
      <sheetName val="Table_6_350"/>
      <sheetName val="Table_6_450"/>
      <sheetName val="Pivot_4_150"/>
      <sheetName val="Pivot_4_250"/>
      <sheetName val="Pivot_4_3_&amp;_4a50"/>
      <sheetName val="Pivot_6_250"/>
      <sheetName val="Pivot_6_3_&amp;_6_450"/>
      <sheetName val="Figure_4_150"/>
      <sheetName val="Figure_4_250"/>
      <sheetName val="Table_Q4_339"/>
      <sheetName val="Areas_cautions39"/>
      <sheetName val="Table_3_739"/>
      <sheetName val="region_county_and_court39"/>
      <sheetName val="3_6_and_3_7_pivot39"/>
      <sheetName val="Table_3_639"/>
      <sheetName val="Sep_-_Nov_0139"/>
      <sheetName val="5d_TIC_summary39"/>
      <sheetName val="Table_Q4a39"/>
      <sheetName val="Table_3_539"/>
      <sheetName val="Table_3_439"/>
      <sheetName val="Common_values49"/>
      <sheetName val="Table_4_149"/>
      <sheetName val="Table_4_249"/>
      <sheetName val="Table_4_349"/>
      <sheetName val="Table_4a49"/>
      <sheetName val="Table_6_249"/>
      <sheetName val="Table_6_349"/>
      <sheetName val="Table_6_449"/>
      <sheetName val="Pivot_4_149"/>
      <sheetName val="Pivot_4_249"/>
      <sheetName val="Pivot_4_3_&amp;_4a49"/>
      <sheetName val="Pivot_6_249"/>
      <sheetName val="Pivot_6_3_&amp;_6_449"/>
      <sheetName val="Figure_4_149"/>
      <sheetName val="Figure_4_249"/>
      <sheetName val="Table_Q4_338"/>
      <sheetName val="Areas_cautions38"/>
      <sheetName val="Table_3_738"/>
      <sheetName val="region_county_and_court38"/>
      <sheetName val="3_6_and_3_7_pivot38"/>
      <sheetName val="Table_3_638"/>
      <sheetName val="Sep_-_Nov_0138"/>
      <sheetName val="5d_TIC_summary38"/>
      <sheetName val="Table_Q4a38"/>
      <sheetName val="Table_3_538"/>
      <sheetName val="Table_3_438"/>
      <sheetName val="Common_values53"/>
      <sheetName val="Table_4_153"/>
      <sheetName val="Table_4_253"/>
      <sheetName val="Table_4_353"/>
      <sheetName val="Table_4a53"/>
      <sheetName val="Table_6_253"/>
      <sheetName val="Table_6_353"/>
      <sheetName val="Table_6_453"/>
      <sheetName val="Pivot_4_153"/>
      <sheetName val="Pivot_4_253"/>
      <sheetName val="Pivot_4_3_&amp;_4a53"/>
      <sheetName val="Pivot_6_253"/>
      <sheetName val="Pivot_6_3_&amp;_6_453"/>
      <sheetName val="Figure_4_153"/>
      <sheetName val="Figure_4_253"/>
      <sheetName val="Table_Q4_342"/>
      <sheetName val="Areas_cautions42"/>
      <sheetName val="Table_3_742"/>
      <sheetName val="region_county_and_court42"/>
      <sheetName val="3_6_and_3_7_pivot42"/>
      <sheetName val="Table_3_642"/>
      <sheetName val="Sep_-_Nov_0142"/>
      <sheetName val="5d_TIC_summary42"/>
      <sheetName val="Table_Q4a42"/>
      <sheetName val="Table_3_542"/>
      <sheetName val="Table_3_442"/>
      <sheetName val="Common_values58"/>
      <sheetName val="Table_4_158"/>
      <sheetName val="Table_4_258"/>
      <sheetName val="Table_4_358"/>
      <sheetName val="Table_4a58"/>
      <sheetName val="Table_6_258"/>
      <sheetName val="Table_6_358"/>
      <sheetName val="Table_6_458"/>
      <sheetName val="Pivot_4_158"/>
      <sheetName val="Pivot_4_258"/>
      <sheetName val="Pivot_4_3_&amp;_4a58"/>
      <sheetName val="Pivot_6_258"/>
      <sheetName val="Pivot_6_3_&amp;_6_458"/>
      <sheetName val="Figure_4_158"/>
      <sheetName val="Figure_4_258"/>
      <sheetName val="Table_Q4_347"/>
      <sheetName val="Areas_cautions47"/>
      <sheetName val="Table_3_747"/>
      <sheetName val="region_county_and_court47"/>
      <sheetName val="3_6_and_3_7_pivot47"/>
      <sheetName val="Table_3_647"/>
      <sheetName val="Sep_-_Nov_0147"/>
      <sheetName val="5d_TIC_summary47"/>
      <sheetName val="Table_Q4a47"/>
      <sheetName val="Table_3_547"/>
      <sheetName val="Table_3_447"/>
      <sheetName val="Common_values54"/>
      <sheetName val="Table_4_154"/>
      <sheetName val="Table_4_254"/>
      <sheetName val="Table_4_354"/>
      <sheetName val="Table_4a54"/>
      <sheetName val="Table_6_254"/>
      <sheetName val="Table_6_354"/>
      <sheetName val="Table_6_454"/>
      <sheetName val="Pivot_4_154"/>
      <sheetName val="Pivot_4_254"/>
      <sheetName val="Pivot_4_3_&amp;_4a54"/>
      <sheetName val="Pivot_6_254"/>
      <sheetName val="Pivot_6_3_&amp;_6_454"/>
      <sheetName val="Figure_4_154"/>
      <sheetName val="Figure_4_254"/>
      <sheetName val="Table_Q4_343"/>
      <sheetName val="Areas_cautions43"/>
      <sheetName val="Table_3_743"/>
      <sheetName val="region_county_and_court43"/>
      <sheetName val="3_6_and_3_7_pivot43"/>
      <sheetName val="Table_3_643"/>
      <sheetName val="Sep_-_Nov_0143"/>
      <sheetName val="5d_TIC_summary43"/>
      <sheetName val="Table_Q4a43"/>
      <sheetName val="Table_3_543"/>
      <sheetName val="Table_3_443"/>
      <sheetName val="Common_values57"/>
      <sheetName val="Table_4_157"/>
      <sheetName val="Table_4_257"/>
      <sheetName val="Table_4_357"/>
      <sheetName val="Table_4a57"/>
      <sheetName val="Table_6_257"/>
      <sheetName val="Table_6_357"/>
      <sheetName val="Table_6_457"/>
      <sheetName val="Pivot_4_157"/>
      <sheetName val="Pivot_4_257"/>
      <sheetName val="Pivot_4_3_&amp;_4a57"/>
      <sheetName val="Pivot_6_257"/>
      <sheetName val="Pivot_6_3_&amp;_6_457"/>
      <sheetName val="Figure_4_157"/>
      <sheetName val="Figure_4_257"/>
      <sheetName val="Table_Q4_346"/>
      <sheetName val="Areas_cautions46"/>
      <sheetName val="Table_3_746"/>
      <sheetName val="region_county_and_court46"/>
      <sheetName val="3_6_and_3_7_pivot46"/>
      <sheetName val="Table_3_646"/>
      <sheetName val="Sep_-_Nov_0146"/>
      <sheetName val="5d_TIC_summary46"/>
      <sheetName val="Table_Q4a46"/>
      <sheetName val="Table_3_546"/>
      <sheetName val="Table_3_446"/>
      <sheetName val="Common_values55"/>
      <sheetName val="Table_4_155"/>
      <sheetName val="Table_4_255"/>
      <sheetName val="Table_4_355"/>
      <sheetName val="Table_4a55"/>
      <sheetName val="Table_6_255"/>
      <sheetName val="Table_6_355"/>
      <sheetName val="Table_6_455"/>
      <sheetName val="Pivot_4_155"/>
      <sheetName val="Pivot_4_255"/>
      <sheetName val="Pivot_4_3_&amp;_4a55"/>
      <sheetName val="Pivot_6_255"/>
      <sheetName val="Pivot_6_3_&amp;_6_455"/>
      <sheetName val="Figure_4_155"/>
      <sheetName val="Figure_4_255"/>
      <sheetName val="Table_Q4_344"/>
      <sheetName val="Areas_cautions44"/>
      <sheetName val="Table_3_744"/>
      <sheetName val="region_county_and_court44"/>
      <sheetName val="3_6_and_3_7_pivot44"/>
      <sheetName val="Table_3_644"/>
      <sheetName val="Sep_-_Nov_0144"/>
      <sheetName val="5d_TIC_summary44"/>
      <sheetName val="Table_Q4a44"/>
      <sheetName val="Table_3_544"/>
      <sheetName val="Table_3_444"/>
      <sheetName val="Common_values56"/>
      <sheetName val="Table_4_156"/>
      <sheetName val="Table_4_256"/>
      <sheetName val="Table_4_356"/>
      <sheetName val="Table_4a56"/>
      <sheetName val="Table_6_256"/>
      <sheetName val="Table_6_356"/>
      <sheetName val="Table_6_456"/>
      <sheetName val="Pivot_4_156"/>
      <sheetName val="Pivot_4_256"/>
      <sheetName val="Pivot_4_3_&amp;_4a56"/>
      <sheetName val="Pivot_6_256"/>
      <sheetName val="Pivot_6_3_&amp;_6_456"/>
      <sheetName val="Figure_4_156"/>
      <sheetName val="Figure_4_256"/>
      <sheetName val="Table_Q4_345"/>
      <sheetName val="Areas_cautions45"/>
      <sheetName val="Table_3_745"/>
      <sheetName val="region_county_and_court45"/>
      <sheetName val="3_6_and_3_7_pivot45"/>
      <sheetName val="Table_3_645"/>
      <sheetName val="Sep_-_Nov_0145"/>
      <sheetName val="5d_TIC_summary45"/>
      <sheetName val="Table_Q4a45"/>
      <sheetName val="Table_3_545"/>
      <sheetName val="Table_3_445"/>
    </sheetNames>
    <sheetDataSet>
      <sheetData sheetId="0"/>
      <sheetData sheetId="1"/>
      <sheetData sheetId="2"/>
      <sheetData sheetId="3"/>
      <sheetData sheetId="4" refreshError="1">
        <row r="5">
          <cell r="P5">
            <v>2000</v>
          </cell>
          <cell r="Q5">
            <v>2001</v>
          </cell>
          <cell r="R5">
            <v>2002</v>
          </cell>
          <cell r="S5">
            <v>2003</v>
          </cell>
          <cell r="T5">
            <v>2004</v>
          </cell>
          <cell r="U5">
            <v>2005</v>
          </cell>
          <cell r="V5">
            <v>2006</v>
          </cell>
          <cell r="W5">
            <v>2007</v>
          </cell>
          <cell r="X5">
            <v>2008</v>
          </cell>
          <cell r="Y5">
            <v>2009</v>
          </cell>
        </row>
        <row r="8">
          <cell r="P8">
            <v>35.299999999999997</v>
          </cell>
          <cell r="Q8">
            <v>35.299999999999997</v>
          </cell>
          <cell r="R8">
            <v>37.700000000000003</v>
          </cell>
          <cell r="S8">
            <v>38</v>
          </cell>
          <cell r="T8">
            <v>39.1</v>
          </cell>
          <cell r="U8">
            <v>40.9</v>
          </cell>
          <cell r="V8">
            <v>41.9</v>
          </cell>
          <cell r="W8">
            <v>41.95</v>
          </cell>
          <cell r="X8">
            <v>41.5</v>
          </cell>
          <cell r="Y8">
            <v>43.4</v>
          </cell>
        </row>
        <row r="9">
          <cell r="P9">
            <v>3.9</v>
          </cell>
          <cell r="Q9">
            <v>4</v>
          </cell>
          <cell r="R9">
            <v>4.4000000000000004</v>
          </cell>
          <cell r="S9">
            <v>4.335</v>
          </cell>
          <cell r="T9">
            <v>4.8</v>
          </cell>
          <cell r="U9">
            <v>4.8</v>
          </cell>
          <cell r="V9">
            <v>4.8899999999999997</v>
          </cell>
          <cell r="W9">
            <v>5.0999999999999996</v>
          </cell>
          <cell r="X9">
            <v>5.0999999999999996</v>
          </cell>
          <cell r="Y9">
            <v>5.0999999999999996</v>
          </cell>
        </row>
        <row r="10">
          <cell r="P10">
            <v>26.2</v>
          </cell>
          <cell r="Q10">
            <v>24.8</v>
          </cell>
          <cell r="R10">
            <v>26.7</v>
          </cell>
          <cell r="S10">
            <v>25.7</v>
          </cell>
          <cell r="T10">
            <v>24.3</v>
          </cell>
          <cell r="U10">
            <v>23</v>
          </cell>
          <cell r="V10">
            <v>22.954999999999998</v>
          </cell>
          <cell r="W10">
            <v>23.8</v>
          </cell>
          <cell r="X10">
            <v>23.9</v>
          </cell>
          <cell r="Y10">
            <v>23</v>
          </cell>
        </row>
        <row r="11">
          <cell r="P11">
            <v>5.9</v>
          </cell>
          <cell r="Q11">
            <v>6.8</v>
          </cell>
          <cell r="R11">
            <v>7.7</v>
          </cell>
          <cell r="S11">
            <v>7.3</v>
          </cell>
          <cell r="T11">
            <v>7.5</v>
          </cell>
          <cell r="U11">
            <v>7.1</v>
          </cell>
          <cell r="V11">
            <v>8.1050000000000004</v>
          </cell>
          <cell r="W11">
            <v>8.8000000000000007</v>
          </cell>
          <cell r="X11">
            <v>8.4749999999999996</v>
          </cell>
          <cell r="Y11">
            <v>8.6</v>
          </cell>
        </row>
        <row r="12">
          <cell r="P12">
            <v>128</v>
          </cell>
          <cell r="Q12">
            <v>127</v>
          </cell>
          <cell r="R12">
            <v>127.3</v>
          </cell>
          <cell r="S12">
            <v>119.1</v>
          </cell>
          <cell r="T12">
            <v>110.6</v>
          </cell>
          <cell r="U12">
            <v>103.8</v>
          </cell>
          <cell r="V12">
            <v>99</v>
          </cell>
          <cell r="W12">
            <v>105.95</v>
          </cell>
          <cell r="X12">
            <v>110.9</v>
          </cell>
          <cell r="Y12">
            <v>111.9</v>
          </cell>
        </row>
        <row r="13">
          <cell r="P13">
            <v>22.7</v>
          </cell>
          <cell r="Q13">
            <v>21.815000000000001</v>
          </cell>
          <cell r="R13">
            <v>21.5</v>
          </cell>
          <cell r="S13">
            <v>21.28</v>
          </cell>
          <cell r="T13">
            <v>20.8</v>
          </cell>
          <cell r="U13">
            <v>20.38</v>
          </cell>
          <cell r="V13">
            <v>19.7</v>
          </cell>
          <cell r="W13">
            <v>21</v>
          </cell>
          <cell r="X13">
            <v>20.6</v>
          </cell>
          <cell r="Y13">
            <v>21</v>
          </cell>
        </row>
        <row r="14">
          <cell r="P14">
            <v>10.25</v>
          </cell>
          <cell r="Q14">
            <v>10.7</v>
          </cell>
          <cell r="R14">
            <v>11</v>
          </cell>
          <cell r="S14">
            <v>11.2</v>
          </cell>
          <cell r="T14">
            <v>11.734999999999999</v>
          </cell>
          <cell r="U14">
            <v>11.7</v>
          </cell>
          <cell r="V14">
            <v>12.7</v>
          </cell>
          <cell r="W14">
            <v>12.5</v>
          </cell>
          <cell r="X14">
            <v>9.6</v>
          </cell>
          <cell r="Y14">
            <v>7.9</v>
          </cell>
        </row>
        <row r="15">
          <cell r="P15">
            <v>44.6</v>
          </cell>
          <cell r="Q15">
            <v>45.6</v>
          </cell>
          <cell r="R15">
            <v>49</v>
          </cell>
          <cell r="S15">
            <v>51.164999999999999</v>
          </cell>
          <cell r="T15">
            <v>39.200000000000003</v>
          </cell>
          <cell r="U15">
            <v>39.1</v>
          </cell>
          <cell r="V15">
            <v>39.6</v>
          </cell>
          <cell r="W15">
            <v>44.564999999999998</v>
          </cell>
          <cell r="X15">
            <v>52.9</v>
          </cell>
          <cell r="Y15">
            <v>56.8</v>
          </cell>
        </row>
        <row r="16">
          <cell r="P16">
            <v>44.56</v>
          </cell>
          <cell r="Q16">
            <v>44</v>
          </cell>
          <cell r="R16">
            <v>48</v>
          </cell>
          <cell r="S16">
            <v>51.5</v>
          </cell>
          <cell r="T16">
            <v>54.494999999999997</v>
          </cell>
          <cell r="U16">
            <v>53.1</v>
          </cell>
          <cell r="V16">
            <v>50</v>
          </cell>
          <cell r="W16">
            <v>45.3</v>
          </cell>
          <cell r="X16">
            <v>40.1</v>
          </cell>
          <cell r="Y16">
            <v>47.6</v>
          </cell>
        </row>
        <row r="17">
          <cell r="P17">
            <v>4.09</v>
          </cell>
          <cell r="Q17">
            <v>4.2</v>
          </cell>
          <cell r="R17">
            <v>4.915</v>
          </cell>
          <cell r="S17">
            <v>5.5</v>
          </cell>
          <cell r="T17">
            <v>5.36</v>
          </cell>
          <cell r="U17">
            <v>4.6950000000000003</v>
          </cell>
          <cell r="V17">
            <v>4.4000000000000004</v>
          </cell>
          <cell r="W17">
            <v>4.3</v>
          </cell>
          <cell r="X17">
            <v>3.7349999999999999</v>
          </cell>
          <cell r="Y17">
            <v>3.6</v>
          </cell>
        </row>
        <row r="18">
          <cell r="P18">
            <v>325.5</v>
          </cell>
          <cell r="Q18">
            <v>324.2</v>
          </cell>
          <cell r="R18">
            <v>338.3</v>
          </cell>
          <cell r="S18">
            <v>335.1</v>
          </cell>
          <cell r="T18">
            <v>317.8</v>
          </cell>
          <cell r="U18">
            <v>308.5</v>
          </cell>
          <cell r="V18">
            <v>303.2</v>
          </cell>
          <cell r="W18">
            <v>313.3</v>
          </cell>
          <cell r="X18">
            <v>316.89999999999998</v>
          </cell>
          <cell r="Y18">
            <v>328.9</v>
          </cell>
        </row>
        <row r="21">
          <cell r="P21">
            <v>490.7</v>
          </cell>
          <cell r="Q21">
            <v>442.1</v>
          </cell>
          <cell r="R21">
            <v>487.2</v>
          </cell>
          <cell r="S21">
            <v>493.5</v>
          </cell>
          <cell r="T21">
            <v>522.79999999999995</v>
          </cell>
          <cell r="U21">
            <v>508.9</v>
          </cell>
          <cell r="V21">
            <v>495.7</v>
          </cell>
          <cell r="W21">
            <v>491.5</v>
          </cell>
          <cell r="X21">
            <v>494.2</v>
          </cell>
          <cell r="Y21">
            <v>514.4</v>
          </cell>
        </row>
        <row r="22">
          <cell r="P22">
            <v>607.5</v>
          </cell>
          <cell r="Q22">
            <v>583.29999999999995</v>
          </cell>
          <cell r="R22">
            <v>595.79999999999995</v>
          </cell>
          <cell r="S22">
            <v>662.6</v>
          </cell>
          <cell r="T22">
            <v>707.9</v>
          </cell>
          <cell r="U22">
            <v>667.1</v>
          </cell>
          <cell r="V22">
            <v>622.5</v>
          </cell>
          <cell r="W22">
            <v>611.1</v>
          </cell>
          <cell r="X22">
            <v>552.20000000000005</v>
          </cell>
          <cell r="Y22">
            <v>564.1</v>
          </cell>
        </row>
        <row r="23">
          <cell r="P23">
            <v>1098.2</v>
          </cell>
          <cell r="Q23">
            <v>1025.5</v>
          </cell>
          <cell r="R23">
            <v>1083</v>
          </cell>
          <cell r="S23">
            <v>1156.0999999999999</v>
          </cell>
          <cell r="T23">
            <v>1230.7</v>
          </cell>
          <cell r="U23">
            <v>1175.9000000000001</v>
          </cell>
          <cell r="V23">
            <v>1118.2</v>
          </cell>
          <cell r="W23">
            <v>1102.58</v>
          </cell>
          <cell r="X23">
            <v>1046.3</v>
          </cell>
          <cell r="Y23">
            <v>1078.5150000000001</v>
          </cell>
        </row>
        <row r="25">
          <cell r="P25">
            <v>1423.7</v>
          </cell>
          <cell r="Q25">
            <v>1349.7</v>
          </cell>
          <cell r="R25">
            <v>1421.2850000000001</v>
          </cell>
          <cell r="S25">
            <v>1491.21</v>
          </cell>
          <cell r="T25">
            <v>1548.5</v>
          </cell>
          <cell r="U25">
            <v>1484.4</v>
          </cell>
          <cell r="V25">
            <v>1421.4</v>
          </cell>
          <cell r="W25">
            <v>1415.9</v>
          </cell>
          <cell r="X25">
            <v>1363.2</v>
          </cell>
          <cell r="Y25">
            <v>1407.5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5">
          <cell r="P5">
            <v>2000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5">
          <cell r="P5">
            <v>2000</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Summary"/>
      <sheetName val="Common values"/>
      <sheetName val="Table Q4.1"/>
      <sheetName val="Table Q4.2"/>
      <sheetName val="Table Q4.3"/>
      <sheetName val="Table Q4a"/>
      <sheetName val="Table Q4b"/>
      <sheetName val="Table Q4c"/>
      <sheetName val="Table Q4d"/>
      <sheetName val="Pivot Q4.1"/>
      <sheetName val="Pivot Q4.2"/>
      <sheetName val="Pivot Q4.3"/>
      <sheetName val="Pivot Q4a"/>
      <sheetName val="Pivot Q4b"/>
      <sheetName val="Pivot Q4c &amp; d"/>
      <sheetName val="Figure 4.1"/>
      <sheetName val="Figure 4.2"/>
      <sheetName val="Figure 4.3"/>
      <sheetName val="Common_values2"/>
      <sheetName val="Table_Q4_12"/>
      <sheetName val="Table_Q4_22"/>
      <sheetName val="Table_Q4_32"/>
      <sheetName val="Table_Q4a2"/>
      <sheetName val="Table_Q4b2"/>
      <sheetName val="Table_Q4c2"/>
      <sheetName val="Table_Q4d2"/>
      <sheetName val="Pivot_Q4_12"/>
      <sheetName val="Pivot_Q4_22"/>
      <sheetName val="Pivot_Q4_32"/>
      <sheetName val="Pivot_Q4a2"/>
      <sheetName val="Pivot_Q4b2"/>
      <sheetName val="Pivot_Q4c_&amp;_d2"/>
      <sheetName val="Figure_4_12"/>
      <sheetName val="Figure_4_22"/>
      <sheetName val="Figure_4_32"/>
      <sheetName val="Common_values"/>
      <sheetName val="Table_Q4_1"/>
      <sheetName val="Table_Q4_2"/>
      <sheetName val="Table_Q4_3"/>
      <sheetName val="Table_Q4a"/>
      <sheetName val="Table_Q4b"/>
      <sheetName val="Table_Q4c"/>
      <sheetName val="Table_Q4d"/>
      <sheetName val="Pivot_Q4_1"/>
      <sheetName val="Pivot_Q4_2"/>
      <sheetName val="Pivot_Q4_3"/>
      <sheetName val="Pivot_Q4a"/>
      <sheetName val="Pivot_Q4b"/>
      <sheetName val="Pivot_Q4c_&amp;_d"/>
      <sheetName val="Figure_4_1"/>
      <sheetName val="Figure_4_2"/>
      <sheetName val="Figure_4_3"/>
      <sheetName val="Common_values1"/>
      <sheetName val="Table_Q4_11"/>
      <sheetName val="Table_Q4_21"/>
      <sheetName val="Table_Q4_31"/>
      <sheetName val="Table_Q4a1"/>
      <sheetName val="Table_Q4b1"/>
      <sheetName val="Table_Q4c1"/>
      <sheetName val="Table_Q4d1"/>
      <sheetName val="Pivot_Q4_11"/>
      <sheetName val="Pivot_Q4_21"/>
      <sheetName val="Pivot_Q4_31"/>
      <sheetName val="Pivot_Q4a1"/>
      <sheetName val="Pivot_Q4b1"/>
      <sheetName val="Pivot_Q4c_&amp;_d1"/>
      <sheetName val="Figure_4_11"/>
      <sheetName val="Figure_4_21"/>
      <sheetName val="Figure_4_31"/>
      <sheetName val="Common_values5"/>
      <sheetName val="Table_Q4_15"/>
      <sheetName val="Table_Q4_25"/>
      <sheetName val="Table_Q4_35"/>
      <sheetName val="Table_Q4a5"/>
      <sheetName val="Table_Q4b5"/>
      <sheetName val="Table_Q4c5"/>
      <sheetName val="Table_Q4d5"/>
      <sheetName val="Pivot_Q4_15"/>
      <sheetName val="Pivot_Q4_25"/>
      <sheetName val="Pivot_Q4_35"/>
      <sheetName val="Pivot_Q4a5"/>
      <sheetName val="Pivot_Q4b5"/>
      <sheetName val="Pivot_Q4c_&amp;_d5"/>
      <sheetName val="Figure_4_15"/>
      <sheetName val="Figure_4_25"/>
      <sheetName val="Figure_4_35"/>
      <sheetName val="Common_values3"/>
      <sheetName val="Table_Q4_13"/>
      <sheetName val="Table_Q4_23"/>
      <sheetName val="Table_Q4_33"/>
      <sheetName val="Table_Q4a3"/>
      <sheetName val="Table_Q4b3"/>
      <sheetName val="Table_Q4c3"/>
      <sheetName val="Table_Q4d3"/>
      <sheetName val="Pivot_Q4_13"/>
      <sheetName val="Pivot_Q4_23"/>
      <sheetName val="Pivot_Q4_33"/>
      <sheetName val="Pivot_Q4a3"/>
      <sheetName val="Pivot_Q4b3"/>
      <sheetName val="Pivot_Q4c_&amp;_d3"/>
      <sheetName val="Figure_4_13"/>
      <sheetName val="Figure_4_23"/>
      <sheetName val="Figure_4_33"/>
      <sheetName val="Common_values4"/>
      <sheetName val="Table_Q4_14"/>
      <sheetName val="Table_Q4_24"/>
      <sheetName val="Table_Q4_34"/>
      <sheetName val="Table_Q4a4"/>
      <sheetName val="Table_Q4b4"/>
      <sheetName val="Table_Q4c4"/>
      <sheetName val="Table_Q4d4"/>
      <sheetName val="Pivot_Q4_14"/>
      <sheetName val="Pivot_Q4_24"/>
      <sheetName val="Pivot_Q4_34"/>
      <sheetName val="Pivot_Q4a4"/>
      <sheetName val="Pivot_Q4b4"/>
      <sheetName val="Pivot_Q4c_&amp;_d4"/>
      <sheetName val="Figure_4_14"/>
      <sheetName val="Figure_4_24"/>
      <sheetName val="Figure_4_34"/>
      <sheetName val="Common_values6"/>
      <sheetName val="Table_Q4_16"/>
      <sheetName val="Table_Q4_26"/>
      <sheetName val="Table_Q4_36"/>
      <sheetName val="Table_Q4a6"/>
      <sheetName val="Table_Q4b6"/>
      <sheetName val="Table_Q4c6"/>
      <sheetName val="Table_Q4d6"/>
      <sheetName val="Pivot_Q4_16"/>
      <sheetName val="Pivot_Q4_26"/>
      <sheetName val="Pivot_Q4_36"/>
      <sheetName val="Pivot_Q4a6"/>
      <sheetName val="Pivot_Q4b6"/>
      <sheetName val="Pivot_Q4c_&amp;_d6"/>
      <sheetName val="Figure_4_16"/>
      <sheetName val="Figure_4_26"/>
      <sheetName val="Figure_4_36"/>
      <sheetName val="Common_values7"/>
      <sheetName val="Table_Q4_17"/>
      <sheetName val="Table_Q4_27"/>
      <sheetName val="Table_Q4_37"/>
      <sheetName val="Table_Q4a7"/>
      <sheetName val="Table_Q4b7"/>
      <sheetName val="Table_Q4c7"/>
      <sheetName val="Table_Q4d7"/>
      <sheetName val="Pivot_Q4_17"/>
      <sheetName val="Pivot_Q4_27"/>
      <sheetName val="Pivot_Q4_37"/>
      <sheetName val="Pivot_Q4a7"/>
      <sheetName val="Pivot_Q4b7"/>
      <sheetName val="Pivot_Q4c_&amp;_d7"/>
      <sheetName val="Figure_4_17"/>
      <sheetName val="Figure_4_27"/>
      <sheetName val="Figure_4_37"/>
      <sheetName val="Common_values10"/>
      <sheetName val="Table_Q4_110"/>
      <sheetName val="Table_Q4_210"/>
      <sheetName val="Table_Q4_310"/>
      <sheetName val="Table_Q4a10"/>
      <sheetName val="Table_Q4b10"/>
      <sheetName val="Table_Q4c10"/>
      <sheetName val="Table_Q4d10"/>
      <sheetName val="Pivot_Q4_110"/>
      <sheetName val="Pivot_Q4_210"/>
      <sheetName val="Pivot_Q4_310"/>
      <sheetName val="Pivot_Q4a10"/>
      <sheetName val="Pivot_Q4b10"/>
      <sheetName val="Pivot_Q4c_&amp;_d10"/>
      <sheetName val="Figure_4_110"/>
      <sheetName val="Figure_4_210"/>
      <sheetName val="Figure_4_310"/>
      <sheetName val="Common_values9"/>
      <sheetName val="Table_Q4_19"/>
      <sheetName val="Table_Q4_29"/>
      <sheetName val="Table_Q4_39"/>
      <sheetName val="Table_Q4a9"/>
      <sheetName val="Table_Q4b9"/>
      <sheetName val="Table_Q4c9"/>
      <sheetName val="Table_Q4d9"/>
      <sheetName val="Pivot_Q4_19"/>
      <sheetName val="Pivot_Q4_29"/>
      <sheetName val="Pivot_Q4_39"/>
      <sheetName val="Pivot_Q4a9"/>
      <sheetName val="Pivot_Q4b9"/>
      <sheetName val="Pivot_Q4c_&amp;_d9"/>
      <sheetName val="Figure_4_19"/>
      <sheetName val="Figure_4_29"/>
      <sheetName val="Figure_4_39"/>
      <sheetName val="Common_values8"/>
      <sheetName val="Table_Q4_18"/>
      <sheetName val="Table_Q4_28"/>
      <sheetName val="Table_Q4_38"/>
      <sheetName val="Table_Q4a8"/>
      <sheetName val="Table_Q4b8"/>
      <sheetName val="Table_Q4c8"/>
      <sheetName val="Table_Q4d8"/>
      <sheetName val="Pivot_Q4_18"/>
      <sheetName val="Pivot_Q4_28"/>
      <sheetName val="Pivot_Q4_38"/>
      <sheetName val="Pivot_Q4a8"/>
      <sheetName val="Pivot_Q4b8"/>
      <sheetName val="Pivot_Q4c_&amp;_d8"/>
      <sheetName val="Figure_4_18"/>
      <sheetName val="Figure_4_28"/>
      <sheetName val="Figure_4_38"/>
      <sheetName val="Common_values13"/>
      <sheetName val="Table_Q4_113"/>
      <sheetName val="Table_Q4_213"/>
      <sheetName val="Table_Q4_313"/>
      <sheetName val="Table_Q4a13"/>
      <sheetName val="Table_Q4b13"/>
      <sheetName val="Table_Q4c13"/>
      <sheetName val="Table_Q4d13"/>
      <sheetName val="Pivot_Q4_113"/>
      <sheetName val="Pivot_Q4_213"/>
      <sheetName val="Pivot_Q4_313"/>
      <sheetName val="Pivot_Q4a13"/>
      <sheetName val="Pivot_Q4b13"/>
      <sheetName val="Pivot_Q4c_&amp;_d13"/>
      <sheetName val="Figure_4_113"/>
      <sheetName val="Figure_4_213"/>
      <sheetName val="Figure_4_313"/>
      <sheetName val="Common_values11"/>
      <sheetName val="Table_Q4_111"/>
      <sheetName val="Table_Q4_211"/>
      <sheetName val="Table_Q4_311"/>
      <sheetName val="Table_Q4a11"/>
      <sheetName val="Table_Q4b11"/>
      <sheetName val="Table_Q4c11"/>
      <sheetName val="Table_Q4d11"/>
      <sheetName val="Pivot_Q4_111"/>
      <sheetName val="Pivot_Q4_211"/>
      <sheetName val="Pivot_Q4_311"/>
      <sheetName val="Pivot_Q4a11"/>
      <sheetName val="Pivot_Q4b11"/>
      <sheetName val="Pivot_Q4c_&amp;_d11"/>
      <sheetName val="Figure_4_111"/>
      <sheetName val="Figure_4_211"/>
      <sheetName val="Figure_4_311"/>
      <sheetName val="Common_values12"/>
      <sheetName val="Table_Q4_112"/>
      <sheetName val="Table_Q4_212"/>
      <sheetName val="Table_Q4_312"/>
      <sheetName val="Table_Q4a12"/>
      <sheetName val="Table_Q4b12"/>
      <sheetName val="Table_Q4c12"/>
      <sheetName val="Table_Q4d12"/>
      <sheetName val="Pivot_Q4_112"/>
      <sheetName val="Pivot_Q4_212"/>
      <sheetName val="Pivot_Q4_312"/>
      <sheetName val="Pivot_Q4a12"/>
      <sheetName val="Pivot_Q4b12"/>
      <sheetName val="Pivot_Q4c_&amp;_d12"/>
      <sheetName val="Figure_4_112"/>
      <sheetName val="Figure_4_212"/>
      <sheetName val="Figure_4_312"/>
      <sheetName val="Common_values15"/>
      <sheetName val="Table_Q4_115"/>
      <sheetName val="Table_Q4_215"/>
      <sheetName val="Table_Q4_315"/>
      <sheetName val="Table_Q4a15"/>
      <sheetName val="Table_Q4b15"/>
      <sheetName val="Table_Q4c15"/>
      <sheetName val="Table_Q4d15"/>
      <sheetName val="Pivot_Q4_115"/>
      <sheetName val="Pivot_Q4_215"/>
      <sheetName val="Pivot_Q4_315"/>
      <sheetName val="Pivot_Q4a15"/>
      <sheetName val="Pivot_Q4b15"/>
      <sheetName val="Pivot_Q4c_&amp;_d15"/>
      <sheetName val="Figure_4_115"/>
      <sheetName val="Figure_4_215"/>
      <sheetName val="Figure_4_315"/>
      <sheetName val="Common_values14"/>
      <sheetName val="Table_Q4_114"/>
      <sheetName val="Table_Q4_214"/>
      <sheetName val="Table_Q4_314"/>
      <sheetName val="Table_Q4a14"/>
      <sheetName val="Table_Q4b14"/>
      <sheetName val="Table_Q4c14"/>
      <sheetName val="Table_Q4d14"/>
      <sheetName val="Pivot_Q4_114"/>
      <sheetName val="Pivot_Q4_214"/>
      <sheetName val="Pivot_Q4_314"/>
      <sheetName val="Pivot_Q4a14"/>
      <sheetName val="Pivot_Q4b14"/>
      <sheetName val="Pivot_Q4c_&amp;_d14"/>
      <sheetName val="Figure_4_114"/>
      <sheetName val="Figure_4_214"/>
      <sheetName val="Figure_4_314"/>
      <sheetName val="Common_values16"/>
      <sheetName val="Table_Q4_116"/>
      <sheetName val="Table_Q4_216"/>
      <sheetName val="Table_Q4_316"/>
      <sheetName val="Table_Q4a16"/>
      <sheetName val="Table_Q4b16"/>
      <sheetName val="Table_Q4c16"/>
      <sheetName val="Table_Q4d16"/>
      <sheetName val="Pivot_Q4_116"/>
      <sheetName val="Pivot_Q4_216"/>
      <sheetName val="Pivot_Q4_316"/>
      <sheetName val="Pivot_Q4a16"/>
      <sheetName val="Pivot_Q4b16"/>
      <sheetName val="Pivot_Q4c_&amp;_d16"/>
      <sheetName val="Figure_4_116"/>
      <sheetName val="Figure_4_216"/>
      <sheetName val="Figure_4_316"/>
      <sheetName val="Common_values17"/>
      <sheetName val="Table_Q4_117"/>
      <sheetName val="Table_Q4_217"/>
      <sheetName val="Table_Q4_317"/>
      <sheetName val="Table_Q4a17"/>
      <sheetName val="Table_Q4b17"/>
      <sheetName val="Table_Q4c17"/>
      <sheetName val="Table_Q4d17"/>
      <sheetName val="Pivot_Q4_117"/>
      <sheetName val="Pivot_Q4_217"/>
      <sheetName val="Pivot_Q4_317"/>
      <sheetName val="Pivot_Q4a17"/>
      <sheetName val="Pivot_Q4b17"/>
      <sheetName val="Pivot_Q4c_&amp;_d17"/>
      <sheetName val="Figure_4_117"/>
      <sheetName val="Figure_4_217"/>
      <sheetName val="Figure_4_317"/>
      <sheetName val="Common_values21"/>
      <sheetName val="Table_Q4_121"/>
      <sheetName val="Table_Q4_221"/>
      <sheetName val="Table_Q4_321"/>
      <sheetName val="Table_Q4a21"/>
      <sheetName val="Table_Q4b21"/>
      <sheetName val="Table_Q4c21"/>
      <sheetName val="Table_Q4d21"/>
      <sheetName val="Pivot_Q4_121"/>
      <sheetName val="Pivot_Q4_221"/>
      <sheetName val="Pivot_Q4_321"/>
      <sheetName val="Pivot_Q4a21"/>
      <sheetName val="Pivot_Q4b21"/>
      <sheetName val="Pivot_Q4c_&amp;_d21"/>
      <sheetName val="Figure_4_121"/>
      <sheetName val="Figure_4_221"/>
      <sheetName val="Figure_4_321"/>
      <sheetName val="Common_values18"/>
      <sheetName val="Table_Q4_118"/>
      <sheetName val="Table_Q4_218"/>
      <sheetName val="Table_Q4_318"/>
      <sheetName val="Table_Q4a18"/>
      <sheetName val="Table_Q4b18"/>
      <sheetName val="Table_Q4c18"/>
      <sheetName val="Table_Q4d18"/>
      <sheetName val="Pivot_Q4_118"/>
      <sheetName val="Pivot_Q4_218"/>
      <sheetName val="Pivot_Q4_318"/>
      <sheetName val="Pivot_Q4a18"/>
      <sheetName val="Pivot_Q4b18"/>
      <sheetName val="Pivot_Q4c_&amp;_d18"/>
      <sheetName val="Figure_4_118"/>
      <sheetName val="Figure_4_218"/>
      <sheetName val="Figure_4_318"/>
      <sheetName val="Common_values19"/>
      <sheetName val="Table_Q4_119"/>
      <sheetName val="Table_Q4_219"/>
      <sheetName val="Table_Q4_319"/>
      <sheetName val="Table_Q4a19"/>
      <sheetName val="Table_Q4b19"/>
      <sheetName val="Table_Q4c19"/>
      <sheetName val="Table_Q4d19"/>
      <sheetName val="Pivot_Q4_119"/>
      <sheetName val="Pivot_Q4_219"/>
      <sheetName val="Pivot_Q4_319"/>
      <sheetName val="Pivot_Q4a19"/>
      <sheetName val="Pivot_Q4b19"/>
      <sheetName val="Pivot_Q4c_&amp;_d19"/>
      <sheetName val="Figure_4_119"/>
      <sheetName val="Figure_4_219"/>
      <sheetName val="Figure_4_319"/>
      <sheetName val="Common_values20"/>
      <sheetName val="Table_Q4_120"/>
      <sheetName val="Table_Q4_220"/>
      <sheetName val="Table_Q4_320"/>
      <sheetName val="Table_Q4a20"/>
      <sheetName val="Table_Q4b20"/>
      <sheetName val="Table_Q4c20"/>
      <sheetName val="Table_Q4d20"/>
      <sheetName val="Pivot_Q4_120"/>
      <sheetName val="Pivot_Q4_220"/>
      <sheetName val="Pivot_Q4_320"/>
      <sheetName val="Pivot_Q4a20"/>
      <sheetName val="Pivot_Q4b20"/>
      <sheetName val="Pivot_Q4c_&amp;_d20"/>
      <sheetName val="Figure_4_120"/>
      <sheetName val="Figure_4_220"/>
      <sheetName val="Figure_4_320"/>
      <sheetName val="Common_values25"/>
      <sheetName val="Table_Q4_125"/>
      <sheetName val="Table_Q4_225"/>
      <sheetName val="Table_Q4_325"/>
      <sheetName val="Table_Q4a25"/>
      <sheetName val="Table_Q4b25"/>
      <sheetName val="Table_Q4c25"/>
      <sheetName val="Table_Q4d25"/>
      <sheetName val="Pivot_Q4_125"/>
      <sheetName val="Pivot_Q4_225"/>
      <sheetName val="Pivot_Q4_325"/>
      <sheetName val="Pivot_Q4a25"/>
      <sheetName val="Pivot_Q4b25"/>
      <sheetName val="Pivot_Q4c_&amp;_d25"/>
      <sheetName val="Figure_4_125"/>
      <sheetName val="Figure_4_225"/>
      <sheetName val="Figure_4_325"/>
      <sheetName val="Common_values22"/>
      <sheetName val="Table_Q4_122"/>
      <sheetName val="Table_Q4_222"/>
      <sheetName val="Table_Q4_322"/>
      <sheetName val="Table_Q4a22"/>
      <sheetName val="Table_Q4b22"/>
      <sheetName val="Table_Q4c22"/>
      <sheetName val="Table_Q4d22"/>
      <sheetName val="Pivot_Q4_122"/>
      <sheetName val="Pivot_Q4_222"/>
      <sheetName val="Pivot_Q4_322"/>
      <sheetName val="Pivot_Q4a22"/>
      <sheetName val="Pivot_Q4b22"/>
      <sheetName val="Pivot_Q4c_&amp;_d22"/>
      <sheetName val="Figure_4_122"/>
      <sheetName val="Figure_4_222"/>
      <sheetName val="Figure_4_322"/>
      <sheetName val="Common_values23"/>
      <sheetName val="Table_Q4_123"/>
      <sheetName val="Table_Q4_223"/>
      <sheetName val="Table_Q4_323"/>
      <sheetName val="Table_Q4a23"/>
      <sheetName val="Table_Q4b23"/>
      <sheetName val="Table_Q4c23"/>
      <sheetName val="Table_Q4d23"/>
      <sheetName val="Pivot_Q4_123"/>
      <sheetName val="Pivot_Q4_223"/>
      <sheetName val="Pivot_Q4_323"/>
      <sheetName val="Pivot_Q4a23"/>
      <sheetName val="Pivot_Q4b23"/>
      <sheetName val="Pivot_Q4c_&amp;_d23"/>
      <sheetName val="Figure_4_123"/>
      <sheetName val="Figure_4_223"/>
      <sheetName val="Figure_4_323"/>
      <sheetName val="Common_values24"/>
      <sheetName val="Table_Q4_124"/>
      <sheetName val="Table_Q4_224"/>
      <sheetName val="Table_Q4_324"/>
      <sheetName val="Table_Q4a24"/>
      <sheetName val="Table_Q4b24"/>
      <sheetName val="Table_Q4c24"/>
      <sheetName val="Table_Q4d24"/>
      <sheetName val="Pivot_Q4_124"/>
      <sheetName val="Pivot_Q4_224"/>
      <sheetName val="Pivot_Q4_324"/>
      <sheetName val="Pivot_Q4a24"/>
      <sheetName val="Pivot_Q4b24"/>
      <sheetName val="Pivot_Q4c_&amp;_d24"/>
      <sheetName val="Figure_4_124"/>
      <sheetName val="Figure_4_224"/>
      <sheetName val="Figure_4_324"/>
      <sheetName val="Common_values29"/>
      <sheetName val="Table_Q4_129"/>
      <sheetName val="Table_Q4_229"/>
      <sheetName val="Table_Q4_329"/>
      <sheetName val="Table_Q4a29"/>
      <sheetName val="Table_Q4b29"/>
      <sheetName val="Table_Q4c29"/>
      <sheetName val="Table_Q4d29"/>
      <sheetName val="Pivot_Q4_129"/>
      <sheetName val="Pivot_Q4_229"/>
      <sheetName val="Pivot_Q4_329"/>
      <sheetName val="Pivot_Q4a29"/>
      <sheetName val="Pivot_Q4b29"/>
      <sheetName val="Pivot_Q4c_&amp;_d29"/>
      <sheetName val="Figure_4_129"/>
      <sheetName val="Figure_4_229"/>
      <sheetName val="Figure_4_329"/>
      <sheetName val="Common_values26"/>
      <sheetName val="Table_Q4_126"/>
      <sheetName val="Table_Q4_226"/>
      <sheetName val="Table_Q4_326"/>
      <sheetName val="Table_Q4a26"/>
      <sheetName val="Table_Q4b26"/>
      <sheetName val="Table_Q4c26"/>
      <sheetName val="Table_Q4d26"/>
      <sheetName val="Pivot_Q4_126"/>
      <sheetName val="Pivot_Q4_226"/>
      <sheetName val="Pivot_Q4_326"/>
      <sheetName val="Pivot_Q4a26"/>
      <sheetName val="Pivot_Q4b26"/>
      <sheetName val="Pivot_Q4c_&amp;_d26"/>
      <sheetName val="Figure_4_126"/>
      <sheetName val="Figure_4_226"/>
      <sheetName val="Figure_4_326"/>
      <sheetName val="Common_values27"/>
      <sheetName val="Table_Q4_127"/>
      <sheetName val="Table_Q4_227"/>
      <sheetName val="Table_Q4_327"/>
      <sheetName val="Table_Q4a27"/>
      <sheetName val="Table_Q4b27"/>
      <sheetName val="Table_Q4c27"/>
      <sheetName val="Table_Q4d27"/>
      <sheetName val="Pivot_Q4_127"/>
      <sheetName val="Pivot_Q4_227"/>
      <sheetName val="Pivot_Q4_327"/>
      <sheetName val="Pivot_Q4a27"/>
      <sheetName val="Pivot_Q4b27"/>
      <sheetName val="Pivot_Q4c_&amp;_d27"/>
      <sheetName val="Figure_4_127"/>
      <sheetName val="Figure_4_227"/>
      <sheetName val="Figure_4_327"/>
      <sheetName val="Common_values28"/>
      <sheetName val="Table_Q4_128"/>
      <sheetName val="Table_Q4_228"/>
      <sheetName val="Table_Q4_328"/>
      <sheetName val="Table_Q4a28"/>
      <sheetName val="Table_Q4b28"/>
      <sheetName val="Table_Q4c28"/>
      <sheetName val="Table_Q4d28"/>
      <sheetName val="Pivot_Q4_128"/>
      <sheetName val="Pivot_Q4_228"/>
      <sheetName val="Pivot_Q4_328"/>
      <sheetName val="Pivot_Q4a28"/>
      <sheetName val="Pivot_Q4b28"/>
      <sheetName val="Pivot_Q4c_&amp;_d28"/>
      <sheetName val="Figure_4_128"/>
      <sheetName val="Figure_4_228"/>
      <sheetName val="Figure_4_328"/>
      <sheetName val="Common_values30"/>
      <sheetName val="Table_Q4_130"/>
      <sheetName val="Table_Q4_230"/>
      <sheetName val="Table_Q4_330"/>
      <sheetName val="Table_Q4a30"/>
      <sheetName val="Table_Q4b30"/>
      <sheetName val="Table_Q4c30"/>
      <sheetName val="Table_Q4d30"/>
      <sheetName val="Pivot_Q4_130"/>
      <sheetName val="Pivot_Q4_230"/>
      <sheetName val="Pivot_Q4_330"/>
      <sheetName val="Pivot_Q4a30"/>
      <sheetName val="Pivot_Q4b30"/>
      <sheetName val="Pivot_Q4c_&amp;_d30"/>
      <sheetName val="Figure_4_130"/>
      <sheetName val="Figure_4_230"/>
      <sheetName val="Figure_4_330"/>
      <sheetName val="Common_values31"/>
      <sheetName val="Table_Q4_131"/>
      <sheetName val="Table_Q4_231"/>
      <sheetName val="Table_Q4_331"/>
      <sheetName val="Table_Q4a31"/>
      <sheetName val="Table_Q4b31"/>
      <sheetName val="Table_Q4c31"/>
      <sheetName val="Table_Q4d31"/>
      <sheetName val="Pivot_Q4_131"/>
      <sheetName val="Pivot_Q4_231"/>
      <sheetName val="Pivot_Q4_331"/>
      <sheetName val="Pivot_Q4a31"/>
      <sheetName val="Pivot_Q4b31"/>
      <sheetName val="Pivot_Q4c_&amp;_d31"/>
      <sheetName val="Figure_4_131"/>
      <sheetName val="Figure_4_231"/>
      <sheetName val="Figure_4_331"/>
      <sheetName val="Common_values32"/>
      <sheetName val="Table_Q4_132"/>
      <sheetName val="Table_Q4_232"/>
      <sheetName val="Table_Q4_332"/>
      <sheetName val="Table_Q4a32"/>
      <sheetName val="Table_Q4b32"/>
      <sheetName val="Table_Q4c32"/>
      <sheetName val="Table_Q4d32"/>
      <sheetName val="Pivot_Q4_132"/>
      <sheetName val="Pivot_Q4_232"/>
      <sheetName val="Pivot_Q4_332"/>
      <sheetName val="Pivot_Q4a32"/>
      <sheetName val="Pivot_Q4b32"/>
      <sheetName val="Pivot_Q4c_&amp;_d32"/>
      <sheetName val="Figure_4_132"/>
      <sheetName val="Figure_4_232"/>
      <sheetName val="Figure_4_332"/>
      <sheetName val="Common_values38"/>
      <sheetName val="Table_Q4_138"/>
      <sheetName val="Table_Q4_238"/>
      <sheetName val="Table_Q4_338"/>
      <sheetName val="Table_Q4a38"/>
      <sheetName val="Table_Q4b38"/>
      <sheetName val="Table_Q4c38"/>
      <sheetName val="Table_Q4d38"/>
      <sheetName val="Pivot_Q4_138"/>
      <sheetName val="Pivot_Q4_238"/>
      <sheetName val="Pivot_Q4_338"/>
      <sheetName val="Pivot_Q4a38"/>
      <sheetName val="Pivot_Q4b38"/>
      <sheetName val="Pivot_Q4c_&amp;_d38"/>
      <sheetName val="Figure_4_138"/>
      <sheetName val="Figure_4_238"/>
      <sheetName val="Figure_4_338"/>
      <sheetName val="Common_values33"/>
      <sheetName val="Table_Q4_133"/>
      <sheetName val="Table_Q4_233"/>
      <sheetName val="Table_Q4_333"/>
      <sheetName val="Table_Q4a33"/>
      <sheetName val="Table_Q4b33"/>
      <sheetName val="Table_Q4c33"/>
      <sheetName val="Table_Q4d33"/>
      <sheetName val="Pivot_Q4_133"/>
      <sheetName val="Pivot_Q4_233"/>
      <sheetName val="Pivot_Q4_333"/>
      <sheetName val="Pivot_Q4a33"/>
      <sheetName val="Pivot_Q4b33"/>
      <sheetName val="Pivot_Q4c_&amp;_d33"/>
      <sheetName val="Figure_4_133"/>
      <sheetName val="Figure_4_233"/>
      <sheetName val="Figure_4_333"/>
      <sheetName val="Common_values34"/>
      <sheetName val="Table_Q4_134"/>
      <sheetName val="Table_Q4_234"/>
      <sheetName val="Table_Q4_334"/>
      <sheetName val="Table_Q4a34"/>
      <sheetName val="Table_Q4b34"/>
      <sheetName val="Table_Q4c34"/>
      <sheetName val="Table_Q4d34"/>
      <sheetName val="Pivot_Q4_134"/>
      <sheetName val="Pivot_Q4_234"/>
      <sheetName val="Pivot_Q4_334"/>
      <sheetName val="Pivot_Q4a34"/>
      <sheetName val="Pivot_Q4b34"/>
      <sheetName val="Pivot_Q4c_&amp;_d34"/>
      <sheetName val="Figure_4_134"/>
      <sheetName val="Figure_4_234"/>
      <sheetName val="Figure_4_334"/>
      <sheetName val="Common_values35"/>
      <sheetName val="Table_Q4_135"/>
      <sheetName val="Table_Q4_235"/>
      <sheetName val="Table_Q4_335"/>
      <sheetName val="Table_Q4a35"/>
      <sheetName val="Table_Q4b35"/>
      <sheetName val="Table_Q4c35"/>
      <sheetName val="Table_Q4d35"/>
      <sheetName val="Pivot_Q4_135"/>
      <sheetName val="Pivot_Q4_235"/>
      <sheetName val="Pivot_Q4_335"/>
      <sheetName val="Pivot_Q4a35"/>
      <sheetName val="Pivot_Q4b35"/>
      <sheetName val="Pivot_Q4c_&amp;_d35"/>
      <sheetName val="Figure_4_135"/>
      <sheetName val="Figure_4_235"/>
      <sheetName val="Figure_4_335"/>
      <sheetName val="Common_values36"/>
      <sheetName val="Table_Q4_136"/>
      <sheetName val="Table_Q4_236"/>
      <sheetName val="Table_Q4_336"/>
      <sheetName val="Table_Q4a36"/>
      <sheetName val="Table_Q4b36"/>
      <sheetName val="Table_Q4c36"/>
      <sheetName val="Table_Q4d36"/>
      <sheetName val="Pivot_Q4_136"/>
      <sheetName val="Pivot_Q4_236"/>
      <sheetName val="Pivot_Q4_336"/>
      <sheetName val="Pivot_Q4a36"/>
      <sheetName val="Pivot_Q4b36"/>
      <sheetName val="Pivot_Q4c_&amp;_d36"/>
      <sheetName val="Figure_4_136"/>
      <sheetName val="Figure_4_236"/>
      <sheetName val="Figure_4_336"/>
      <sheetName val="Common_values37"/>
      <sheetName val="Table_Q4_137"/>
      <sheetName val="Table_Q4_237"/>
      <sheetName val="Table_Q4_337"/>
      <sheetName val="Table_Q4a37"/>
      <sheetName val="Table_Q4b37"/>
      <sheetName val="Table_Q4c37"/>
      <sheetName val="Table_Q4d37"/>
      <sheetName val="Pivot_Q4_137"/>
      <sheetName val="Pivot_Q4_237"/>
      <sheetName val="Pivot_Q4_337"/>
      <sheetName val="Pivot_Q4a37"/>
      <sheetName val="Pivot_Q4b37"/>
      <sheetName val="Pivot_Q4c_&amp;_d37"/>
      <sheetName val="Figure_4_137"/>
      <sheetName val="Figure_4_237"/>
      <sheetName val="Figure_4_337"/>
      <sheetName val="Common_values42"/>
      <sheetName val="Table_Q4_142"/>
      <sheetName val="Table_Q4_242"/>
      <sheetName val="Table_Q4_342"/>
      <sheetName val="Table_Q4a42"/>
      <sheetName val="Table_Q4b42"/>
      <sheetName val="Table_Q4c42"/>
      <sheetName val="Table_Q4d42"/>
      <sheetName val="Pivot_Q4_142"/>
      <sheetName val="Pivot_Q4_242"/>
      <sheetName val="Pivot_Q4_342"/>
      <sheetName val="Pivot_Q4a42"/>
      <sheetName val="Pivot_Q4b42"/>
      <sheetName val="Pivot_Q4c_&amp;_d42"/>
      <sheetName val="Figure_4_142"/>
      <sheetName val="Figure_4_242"/>
      <sheetName val="Figure_4_342"/>
      <sheetName val="Common_values41"/>
      <sheetName val="Table_Q4_141"/>
      <sheetName val="Table_Q4_241"/>
      <sheetName val="Table_Q4_341"/>
      <sheetName val="Table_Q4a41"/>
      <sheetName val="Table_Q4b41"/>
      <sheetName val="Table_Q4c41"/>
      <sheetName val="Table_Q4d41"/>
      <sheetName val="Pivot_Q4_141"/>
      <sheetName val="Pivot_Q4_241"/>
      <sheetName val="Pivot_Q4_341"/>
      <sheetName val="Pivot_Q4a41"/>
      <sheetName val="Pivot_Q4b41"/>
      <sheetName val="Pivot_Q4c_&amp;_d41"/>
      <sheetName val="Figure_4_141"/>
      <sheetName val="Figure_4_241"/>
      <sheetName val="Figure_4_341"/>
      <sheetName val="Common_values40"/>
      <sheetName val="Table_Q4_140"/>
      <sheetName val="Table_Q4_240"/>
      <sheetName val="Table_Q4_340"/>
      <sheetName val="Table_Q4a40"/>
      <sheetName val="Table_Q4b40"/>
      <sheetName val="Table_Q4c40"/>
      <sheetName val="Table_Q4d40"/>
      <sheetName val="Pivot_Q4_140"/>
      <sheetName val="Pivot_Q4_240"/>
      <sheetName val="Pivot_Q4_340"/>
      <sheetName val="Pivot_Q4a40"/>
      <sheetName val="Pivot_Q4b40"/>
      <sheetName val="Pivot_Q4c_&amp;_d40"/>
      <sheetName val="Figure_4_140"/>
      <sheetName val="Figure_4_240"/>
      <sheetName val="Figure_4_340"/>
      <sheetName val="Common_values39"/>
      <sheetName val="Table_Q4_139"/>
      <sheetName val="Table_Q4_239"/>
      <sheetName val="Table_Q4_339"/>
      <sheetName val="Table_Q4a39"/>
      <sheetName val="Table_Q4b39"/>
      <sheetName val="Table_Q4c39"/>
      <sheetName val="Table_Q4d39"/>
      <sheetName val="Pivot_Q4_139"/>
      <sheetName val="Pivot_Q4_239"/>
      <sheetName val="Pivot_Q4_339"/>
      <sheetName val="Pivot_Q4a39"/>
      <sheetName val="Pivot_Q4b39"/>
      <sheetName val="Pivot_Q4c_&amp;_d39"/>
      <sheetName val="Figure_4_139"/>
      <sheetName val="Figure_4_239"/>
      <sheetName val="Figure_4_339"/>
      <sheetName val="Common_values43"/>
      <sheetName val="Table_Q4_143"/>
      <sheetName val="Table_Q4_243"/>
      <sheetName val="Table_Q4_343"/>
      <sheetName val="Table_Q4a43"/>
      <sheetName val="Table_Q4b43"/>
      <sheetName val="Table_Q4c43"/>
      <sheetName val="Table_Q4d43"/>
      <sheetName val="Pivot_Q4_143"/>
      <sheetName val="Pivot_Q4_243"/>
      <sheetName val="Pivot_Q4_343"/>
      <sheetName val="Pivot_Q4a43"/>
      <sheetName val="Pivot_Q4b43"/>
      <sheetName val="Pivot_Q4c_&amp;_d43"/>
      <sheetName val="Figure_4_143"/>
      <sheetName val="Figure_4_243"/>
      <sheetName val="Figure_4_343"/>
      <sheetName val="Common_values49"/>
      <sheetName val="Table_Q4_149"/>
      <sheetName val="Table_Q4_249"/>
      <sheetName val="Table_Q4_349"/>
      <sheetName val="Table_Q4a49"/>
      <sheetName val="Table_Q4b49"/>
      <sheetName val="Table_Q4c49"/>
      <sheetName val="Table_Q4d49"/>
      <sheetName val="Pivot_Q4_149"/>
      <sheetName val="Pivot_Q4_249"/>
      <sheetName val="Pivot_Q4_349"/>
      <sheetName val="Pivot_Q4a49"/>
      <sheetName val="Pivot_Q4b49"/>
      <sheetName val="Pivot_Q4c_&amp;_d49"/>
      <sheetName val="Figure_4_149"/>
      <sheetName val="Figure_4_249"/>
      <sheetName val="Figure_4_349"/>
      <sheetName val="Common_values44"/>
      <sheetName val="Table_Q4_144"/>
      <sheetName val="Table_Q4_244"/>
      <sheetName val="Table_Q4_344"/>
      <sheetName val="Table_Q4a44"/>
      <sheetName val="Table_Q4b44"/>
      <sheetName val="Table_Q4c44"/>
      <sheetName val="Table_Q4d44"/>
      <sheetName val="Pivot_Q4_144"/>
      <sheetName val="Pivot_Q4_244"/>
      <sheetName val="Pivot_Q4_344"/>
      <sheetName val="Pivot_Q4a44"/>
      <sheetName val="Pivot_Q4b44"/>
      <sheetName val="Pivot_Q4c_&amp;_d44"/>
      <sheetName val="Figure_4_144"/>
      <sheetName val="Figure_4_244"/>
      <sheetName val="Figure_4_344"/>
      <sheetName val="Common_values48"/>
      <sheetName val="Table_Q4_148"/>
      <sheetName val="Table_Q4_248"/>
      <sheetName val="Table_Q4_348"/>
      <sheetName val="Table_Q4a48"/>
      <sheetName val="Table_Q4b48"/>
      <sheetName val="Table_Q4c48"/>
      <sheetName val="Table_Q4d48"/>
      <sheetName val="Pivot_Q4_148"/>
      <sheetName val="Pivot_Q4_248"/>
      <sheetName val="Pivot_Q4_348"/>
      <sheetName val="Pivot_Q4a48"/>
      <sheetName val="Pivot_Q4b48"/>
      <sheetName val="Pivot_Q4c_&amp;_d48"/>
      <sheetName val="Figure_4_148"/>
      <sheetName val="Figure_4_248"/>
      <sheetName val="Figure_4_348"/>
      <sheetName val="Common_values46"/>
      <sheetName val="Table_Q4_146"/>
      <sheetName val="Table_Q4_246"/>
      <sheetName val="Table_Q4_346"/>
      <sheetName val="Table_Q4a46"/>
      <sheetName val="Table_Q4b46"/>
      <sheetName val="Table_Q4c46"/>
      <sheetName val="Table_Q4d46"/>
      <sheetName val="Pivot_Q4_146"/>
      <sheetName val="Pivot_Q4_246"/>
      <sheetName val="Pivot_Q4_346"/>
      <sheetName val="Pivot_Q4a46"/>
      <sheetName val="Pivot_Q4b46"/>
      <sheetName val="Pivot_Q4c_&amp;_d46"/>
      <sheetName val="Figure_4_146"/>
      <sheetName val="Figure_4_246"/>
      <sheetName val="Figure_4_346"/>
      <sheetName val="Common_values45"/>
      <sheetName val="Table_Q4_145"/>
      <sheetName val="Table_Q4_245"/>
      <sheetName val="Table_Q4_345"/>
      <sheetName val="Table_Q4a45"/>
      <sheetName val="Table_Q4b45"/>
      <sheetName val="Table_Q4c45"/>
      <sheetName val="Table_Q4d45"/>
      <sheetName val="Pivot_Q4_145"/>
      <sheetName val="Pivot_Q4_245"/>
      <sheetName val="Pivot_Q4_345"/>
      <sheetName val="Pivot_Q4a45"/>
      <sheetName val="Pivot_Q4b45"/>
      <sheetName val="Pivot_Q4c_&amp;_d45"/>
      <sheetName val="Figure_4_145"/>
      <sheetName val="Figure_4_245"/>
      <sheetName val="Figure_4_345"/>
      <sheetName val="Common_values47"/>
      <sheetName val="Table_Q4_147"/>
      <sheetName val="Table_Q4_247"/>
      <sheetName val="Table_Q4_347"/>
      <sheetName val="Table_Q4a47"/>
      <sheetName val="Table_Q4b47"/>
      <sheetName val="Table_Q4c47"/>
      <sheetName val="Table_Q4d47"/>
      <sheetName val="Pivot_Q4_147"/>
      <sheetName val="Pivot_Q4_247"/>
      <sheetName val="Pivot_Q4_347"/>
      <sheetName val="Pivot_Q4a47"/>
      <sheetName val="Pivot_Q4b47"/>
      <sheetName val="Pivot_Q4c_&amp;_d47"/>
      <sheetName val="Figure_4_147"/>
      <sheetName val="Figure_4_247"/>
      <sheetName val="Figure_4_34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nk to data - keep"/>
      <sheetName val="OUTPUT"/>
      <sheetName val="Output FPNs"/>
      <sheetName val="Output TICs"/>
      <sheetName val="Output cautions"/>
      <sheetName val="Output convictions"/>
      <sheetName val="output OBTJs"/>
      <sheetName val="Areas FPNs"/>
      <sheetName val="Areas TICs"/>
      <sheetName val="Areas cautions"/>
      <sheetName val="Areas convictions"/>
      <sheetName val="Areas OBTJs"/>
      <sheetName val="Read me"/>
      <sheetName val="Areas_cautions"/>
      <sheetName val="Areas_cautions1"/>
      <sheetName val="link_to_data_-_keep"/>
      <sheetName val="Output_FPNs"/>
      <sheetName val="Output_TICs"/>
      <sheetName val="Output_cautions"/>
      <sheetName val="Output_convictions"/>
      <sheetName val="output_OBTJs"/>
      <sheetName val="Areas_FPNs"/>
      <sheetName val="Areas_TICs"/>
      <sheetName val="Areas_convictions"/>
      <sheetName val="Areas_OBTJs"/>
      <sheetName val="Read_me"/>
      <sheetName val="link_to_data_-_keep4"/>
      <sheetName val="Output_FPNs4"/>
      <sheetName val="Output_TICs4"/>
      <sheetName val="Output_cautions4"/>
      <sheetName val="Output_convictions4"/>
      <sheetName val="output_OBTJs4"/>
      <sheetName val="Areas_FPNs4"/>
      <sheetName val="Areas_TICs4"/>
      <sheetName val="Areas_cautions5"/>
      <sheetName val="Areas_convictions4"/>
      <sheetName val="Areas_OBTJs4"/>
      <sheetName val="Read_me4"/>
      <sheetName val="link_to_data_-_keep1"/>
      <sheetName val="Output_FPNs1"/>
      <sheetName val="Output_TICs1"/>
      <sheetName val="Output_cautions1"/>
      <sheetName val="Output_convictions1"/>
      <sheetName val="output_OBTJs1"/>
      <sheetName val="Areas_FPNs1"/>
      <sheetName val="Areas_TICs1"/>
      <sheetName val="Areas_cautions2"/>
      <sheetName val="Areas_convictions1"/>
      <sheetName val="Areas_OBTJs1"/>
      <sheetName val="Read_me1"/>
      <sheetName val="link_to_data_-_keep2"/>
      <sheetName val="Output_FPNs2"/>
      <sheetName val="Output_TICs2"/>
      <sheetName val="Output_cautions2"/>
      <sheetName val="Output_convictions2"/>
      <sheetName val="output_OBTJs2"/>
      <sheetName val="Areas_FPNs2"/>
      <sheetName val="Areas_TICs2"/>
      <sheetName val="Areas_cautions3"/>
      <sheetName val="Areas_convictions2"/>
      <sheetName val="Areas_OBTJs2"/>
      <sheetName val="Read_me2"/>
      <sheetName val="link_to_data_-_keep3"/>
      <sheetName val="Output_FPNs3"/>
      <sheetName val="Output_TICs3"/>
      <sheetName val="Output_cautions3"/>
      <sheetName val="Output_convictions3"/>
      <sheetName val="output_OBTJs3"/>
      <sheetName val="Areas_FPNs3"/>
      <sheetName val="Areas_TICs3"/>
      <sheetName val="Areas_cautions4"/>
      <sheetName val="Areas_convictions3"/>
      <sheetName val="Areas_OBTJs3"/>
      <sheetName val="Read_me3"/>
      <sheetName val="link_to_data_-_keep5"/>
      <sheetName val="Output_FPNs5"/>
      <sheetName val="Output_TICs5"/>
      <sheetName val="Output_cautions5"/>
      <sheetName val="Output_convictions5"/>
      <sheetName val="output_OBTJs5"/>
      <sheetName val="Areas_FPNs5"/>
      <sheetName val="Areas_TICs5"/>
      <sheetName val="Areas_cautions6"/>
      <sheetName val="Areas_convictions5"/>
      <sheetName val="Areas_OBTJs5"/>
      <sheetName val="Read_me5"/>
      <sheetName val="link_to_data_-_keep6"/>
      <sheetName val="Output_FPNs6"/>
      <sheetName val="Output_TICs6"/>
      <sheetName val="Output_cautions6"/>
      <sheetName val="Output_convictions6"/>
      <sheetName val="output_OBTJs6"/>
      <sheetName val="Areas_FPNs6"/>
      <sheetName val="Areas_TICs6"/>
      <sheetName val="Areas_cautions7"/>
      <sheetName val="Areas_convictions6"/>
      <sheetName val="Areas_OBTJs6"/>
      <sheetName val="Read_me6"/>
      <sheetName val="link_to_data_-_keep9"/>
      <sheetName val="Output_FPNs9"/>
      <sheetName val="Output_TICs9"/>
      <sheetName val="Output_cautions9"/>
      <sheetName val="Output_convictions9"/>
      <sheetName val="output_OBTJs9"/>
      <sheetName val="Areas_FPNs9"/>
      <sheetName val="Areas_TICs9"/>
      <sheetName val="Areas_cautions10"/>
      <sheetName val="Areas_convictions9"/>
      <sheetName val="Areas_OBTJs9"/>
      <sheetName val="Read_me9"/>
      <sheetName val="link_to_data_-_keep8"/>
      <sheetName val="Output_FPNs8"/>
      <sheetName val="Output_TICs8"/>
      <sheetName val="Output_cautions8"/>
      <sheetName val="Output_convictions8"/>
      <sheetName val="output_OBTJs8"/>
      <sheetName val="Areas_FPNs8"/>
      <sheetName val="Areas_TICs8"/>
      <sheetName val="Areas_cautions9"/>
      <sheetName val="Areas_convictions8"/>
      <sheetName val="Areas_OBTJs8"/>
      <sheetName val="Read_me8"/>
      <sheetName val="link_to_data_-_keep7"/>
      <sheetName val="Output_FPNs7"/>
      <sheetName val="Output_TICs7"/>
      <sheetName val="Output_cautions7"/>
      <sheetName val="Output_convictions7"/>
      <sheetName val="output_OBTJs7"/>
      <sheetName val="Areas_FPNs7"/>
      <sheetName val="Areas_TICs7"/>
      <sheetName val="Areas_cautions8"/>
      <sheetName val="Areas_convictions7"/>
      <sheetName val="Areas_OBTJs7"/>
      <sheetName val="Read_me7"/>
      <sheetName val="link_to_data_-_keep12"/>
      <sheetName val="Output_FPNs12"/>
      <sheetName val="Output_TICs12"/>
      <sheetName val="Output_cautions12"/>
      <sheetName val="Output_convictions12"/>
      <sheetName val="output_OBTJs12"/>
      <sheetName val="Areas_FPNs12"/>
      <sheetName val="Areas_TICs12"/>
      <sheetName val="Areas_cautions13"/>
      <sheetName val="Areas_convictions12"/>
      <sheetName val="Areas_OBTJs12"/>
      <sheetName val="Read_me12"/>
      <sheetName val="link_to_data_-_keep10"/>
      <sheetName val="Output_FPNs10"/>
      <sheetName val="Output_TICs10"/>
      <sheetName val="Output_cautions10"/>
      <sheetName val="Output_convictions10"/>
      <sheetName val="output_OBTJs10"/>
      <sheetName val="Areas_FPNs10"/>
      <sheetName val="Areas_TICs10"/>
      <sheetName val="Areas_cautions11"/>
      <sheetName val="Areas_convictions10"/>
      <sheetName val="Areas_OBTJs10"/>
      <sheetName val="Read_me10"/>
      <sheetName val="link_to_data_-_keep11"/>
      <sheetName val="Output_FPNs11"/>
      <sheetName val="Output_TICs11"/>
      <sheetName val="Output_cautions11"/>
      <sheetName val="Output_convictions11"/>
      <sheetName val="output_OBTJs11"/>
      <sheetName val="Areas_FPNs11"/>
      <sheetName val="Areas_TICs11"/>
      <sheetName val="Areas_cautions12"/>
      <sheetName val="Areas_convictions11"/>
      <sheetName val="Areas_OBTJs11"/>
      <sheetName val="Read_me11"/>
      <sheetName val="link_to_data_-_keep14"/>
      <sheetName val="Output_FPNs14"/>
      <sheetName val="Output_TICs14"/>
      <sheetName val="Output_cautions14"/>
      <sheetName val="Output_convictions14"/>
      <sheetName val="output_OBTJs14"/>
      <sheetName val="Areas_FPNs14"/>
      <sheetName val="Areas_TICs14"/>
      <sheetName val="Areas_cautions15"/>
      <sheetName val="Areas_convictions14"/>
      <sheetName val="Areas_OBTJs14"/>
      <sheetName val="Read_me14"/>
      <sheetName val="link_to_data_-_keep13"/>
      <sheetName val="Output_FPNs13"/>
      <sheetName val="Output_TICs13"/>
      <sheetName val="Output_cautions13"/>
      <sheetName val="Output_convictions13"/>
      <sheetName val="output_OBTJs13"/>
      <sheetName val="Areas_FPNs13"/>
      <sheetName val="Areas_TICs13"/>
      <sheetName val="Areas_cautions14"/>
      <sheetName val="Areas_convictions13"/>
      <sheetName val="Areas_OBTJs13"/>
      <sheetName val="Read_me13"/>
      <sheetName val="link_to_data_-_keep15"/>
      <sheetName val="Output_FPNs15"/>
      <sheetName val="Output_TICs15"/>
      <sheetName val="Output_cautions15"/>
      <sheetName val="Output_convictions15"/>
      <sheetName val="output_OBTJs15"/>
      <sheetName val="Areas_FPNs15"/>
      <sheetName val="Areas_TICs15"/>
      <sheetName val="Areas_cautions16"/>
      <sheetName val="Areas_convictions15"/>
      <sheetName val="Areas_OBTJs15"/>
      <sheetName val="Read_me15"/>
      <sheetName val="link_to_data_-_keep16"/>
      <sheetName val="Output_FPNs16"/>
      <sheetName val="Output_TICs16"/>
      <sheetName val="Output_cautions16"/>
      <sheetName val="Output_convictions16"/>
      <sheetName val="output_OBTJs16"/>
      <sheetName val="Areas_FPNs16"/>
      <sheetName val="Areas_TICs16"/>
      <sheetName val="Areas_cautions17"/>
      <sheetName val="Areas_convictions16"/>
      <sheetName val="Areas_OBTJs16"/>
      <sheetName val="Read_me16"/>
      <sheetName val="link_to_data_-_keep20"/>
      <sheetName val="Output_FPNs20"/>
      <sheetName val="Output_TICs20"/>
      <sheetName val="Output_cautions20"/>
      <sheetName val="Output_convictions20"/>
      <sheetName val="output_OBTJs20"/>
      <sheetName val="Areas_FPNs20"/>
      <sheetName val="Areas_TICs20"/>
      <sheetName val="Areas_cautions21"/>
      <sheetName val="Areas_convictions20"/>
      <sheetName val="Areas_OBTJs20"/>
      <sheetName val="Read_me20"/>
      <sheetName val="link_to_data_-_keep17"/>
      <sheetName val="Output_FPNs17"/>
      <sheetName val="Output_TICs17"/>
      <sheetName val="Output_cautions17"/>
      <sheetName val="Output_convictions17"/>
      <sheetName val="output_OBTJs17"/>
      <sheetName val="Areas_FPNs17"/>
      <sheetName val="Areas_TICs17"/>
      <sheetName val="Areas_cautions18"/>
      <sheetName val="Areas_convictions17"/>
      <sheetName val="Areas_OBTJs17"/>
      <sheetName val="Read_me17"/>
      <sheetName val="link_to_data_-_keep18"/>
      <sheetName val="Output_FPNs18"/>
      <sheetName val="Output_TICs18"/>
      <sheetName val="Output_cautions18"/>
      <sheetName val="Output_convictions18"/>
      <sheetName val="output_OBTJs18"/>
      <sheetName val="Areas_FPNs18"/>
      <sheetName val="Areas_TICs18"/>
      <sheetName val="Areas_cautions19"/>
      <sheetName val="Areas_convictions18"/>
      <sheetName val="Areas_OBTJs18"/>
      <sheetName val="Read_me18"/>
      <sheetName val="link_to_data_-_keep19"/>
      <sheetName val="Output_FPNs19"/>
      <sheetName val="Output_TICs19"/>
      <sheetName val="Output_cautions19"/>
      <sheetName val="Output_convictions19"/>
      <sheetName val="output_OBTJs19"/>
      <sheetName val="Areas_FPNs19"/>
      <sheetName val="Areas_TICs19"/>
      <sheetName val="Areas_cautions20"/>
      <sheetName val="Areas_convictions19"/>
      <sheetName val="Areas_OBTJs19"/>
      <sheetName val="Read_me19"/>
      <sheetName val="link_to_data_-_keep23"/>
      <sheetName val="Output_FPNs23"/>
      <sheetName val="Output_TICs23"/>
      <sheetName val="Output_cautions23"/>
      <sheetName val="Output_convictions23"/>
      <sheetName val="output_OBTJs23"/>
      <sheetName val="Areas_FPNs23"/>
      <sheetName val="Areas_TICs23"/>
      <sheetName val="Areas_cautions24"/>
      <sheetName val="Areas_convictions23"/>
      <sheetName val="Areas_OBTJs23"/>
      <sheetName val="Read_me23"/>
      <sheetName val="link_to_data_-_keep21"/>
      <sheetName val="Output_FPNs21"/>
      <sheetName val="Output_TICs21"/>
      <sheetName val="Output_cautions21"/>
      <sheetName val="Output_convictions21"/>
      <sheetName val="output_OBTJs21"/>
      <sheetName val="Areas_FPNs21"/>
      <sheetName val="Areas_TICs21"/>
      <sheetName val="Areas_cautions22"/>
      <sheetName val="Areas_convictions21"/>
      <sheetName val="Areas_OBTJs21"/>
      <sheetName val="Read_me21"/>
      <sheetName val="link_to_data_-_keep22"/>
      <sheetName val="Output_FPNs22"/>
      <sheetName val="Output_TICs22"/>
      <sheetName val="Output_cautions22"/>
      <sheetName val="Output_convictions22"/>
      <sheetName val="output_OBTJs22"/>
      <sheetName val="Areas_FPNs22"/>
      <sheetName val="Areas_TICs22"/>
      <sheetName val="Areas_cautions23"/>
      <sheetName val="Areas_convictions22"/>
      <sheetName val="Areas_OBTJs22"/>
      <sheetName val="Read_me22"/>
      <sheetName val="link_to_data_-_keep26"/>
      <sheetName val="Output_FPNs26"/>
      <sheetName val="Output_TICs26"/>
      <sheetName val="Output_cautions26"/>
      <sheetName val="Output_convictions26"/>
      <sheetName val="output_OBTJs26"/>
      <sheetName val="Areas_FPNs26"/>
      <sheetName val="Areas_TICs26"/>
      <sheetName val="Areas_cautions27"/>
      <sheetName val="Areas_convictions26"/>
      <sheetName val="Areas_OBTJs26"/>
      <sheetName val="Read_me26"/>
      <sheetName val="link_to_data_-_keep24"/>
      <sheetName val="Output_FPNs24"/>
      <sheetName val="Output_TICs24"/>
      <sheetName val="Output_cautions24"/>
      <sheetName val="Output_convictions24"/>
      <sheetName val="output_OBTJs24"/>
      <sheetName val="Areas_FPNs24"/>
      <sheetName val="Areas_TICs24"/>
      <sheetName val="Areas_cautions25"/>
      <sheetName val="Areas_convictions24"/>
      <sheetName val="Areas_OBTJs24"/>
      <sheetName val="Read_me24"/>
      <sheetName val="link_to_data_-_keep25"/>
      <sheetName val="Output_FPNs25"/>
      <sheetName val="Output_TICs25"/>
      <sheetName val="Output_cautions25"/>
      <sheetName val="Output_convictions25"/>
      <sheetName val="output_OBTJs25"/>
      <sheetName val="Areas_FPNs25"/>
      <sheetName val="Areas_TICs25"/>
      <sheetName val="Areas_cautions26"/>
      <sheetName val="Areas_convictions25"/>
      <sheetName val="Areas_OBTJs25"/>
      <sheetName val="Read_me25"/>
      <sheetName val="link_to_data_-_keep27"/>
      <sheetName val="Output_FPNs27"/>
      <sheetName val="Output_TICs27"/>
      <sheetName val="Output_cautions27"/>
      <sheetName val="Output_convictions27"/>
      <sheetName val="output_OBTJs27"/>
      <sheetName val="Areas_FPNs27"/>
      <sheetName val="Areas_TICs27"/>
      <sheetName val="Areas_cautions28"/>
      <sheetName val="Areas_convictions27"/>
      <sheetName val="Areas_OBTJs27"/>
      <sheetName val="Read_me27"/>
      <sheetName val="link_to_data_-_keep28"/>
      <sheetName val="Output_FPNs28"/>
      <sheetName val="Output_TICs28"/>
      <sheetName val="Output_cautions28"/>
      <sheetName val="Output_convictions28"/>
      <sheetName val="output_OBTJs28"/>
      <sheetName val="Areas_FPNs28"/>
      <sheetName val="Areas_TICs28"/>
      <sheetName val="Areas_cautions29"/>
      <sheetName val="Areas_convictions28"/>
      <sheetName val="Areas_OBTJs28"/>
      <sheetName val="Read_me28"/>
      <sheetName val="link_to_data_-_keep34"/>
      <sheetName val="Output_FPNs34"/>
      <sheetName val="Output_TICs34"/>
      <sheetName val="Output_cautions34"/>
      <sheetName val="Output_convictions34"/>
      <sheetName val="output_OBTJs34"/>
      <sheetName val="Areas_FPNs34"/>
      <sheetName val="Areas_TICs34"/>
      <sheetName val="Areas_cautions35"/>
      <sheetName val="Areas_convictions34"/>
      <sheetName val="Areas_OBTJs34"/>
      <sheetName val="Read_me34"/>
      <sheetName val="link_to_data_-_keep29"/>
      <sheetName val="Output_FPNs29"/>
      <sheetName val="Output_TICs29"/>
      <sheetName val="Output_cautions29"/>
      <sheetName val="Output_convictions29"/>
      <sheetName val="output_OBTJs29"/>
      <sheetName val="Areas_FPNs29"/>
      <sheetName val="Areas_TICs29"/>
      <sheetName val="Areas_cautions30"/>
      <sheetName val="Areas_convictions29"/>
      <sheetName val="Areas_OBTJs29"/>
      <sheetName val="Read_me29"/>
      <sheetName val="link_to_data_-_keep30"/>
      <sheetName val="Output_FPNs30"/>
      <sheetName val="Output_TICs30"/>
      <sheetName val="Output_cautions30"/>
      <sheetName val="Output_convictions30"/>
      <sheetName val="output_OBTJs30"/>
      <sheetName val="Areas_FPNs30"/>
      <sheetName val="Areas_TICs30"/>
      <sheetName val="Areas_cautions31"/>
      <sheetName val="Areas_convictions30"/>
      <sheetName val="Areas_OBTJs30"/>
      <sheetName val="Read_me30"/>
      <sheetName val="link_to_data_-_keep31"/>
      <sheetName val="Output_FPNs31"/>
      <sheetName val="Output_TICs31"/>
      <sheetName val="Output_cautions31"/>
      <sheetName val="Output_convictions31"/>
      <sheetName val="output_OBTJs31"/>
      <sheetName val="Areas_FPNs31"/>
      <sheetName val="Areas_TICs31"/>
      <sheetName val="Areas_cautions32"/>
      <sheetName val="Areas_convictions31"/>
      <sheetName val="Areas_OBTJs31"/>
      <sheetName val="Read_me31"/>
      <sheetName val="link_to_data_-_keep32"/>
      <sheetName val="Output_FPNs32"/>
      <sheetName val="Output_TICs32"/>
      <sheetName val="Output_cautions32"/>
      <sheetName val="Output_convictions32"/>
      <sheetName val="output_OBTJs32"/>
      <sheetName val="Areas_FPNs32"/>
      <sheetName val="Areas_TICs32"/>
      <sheetName val="Areas_cautions33"/>
      <sheetName val="Areas_convictions32"/>
      <sheetName val="Areas_OBTJs32"/>
      <sheetName val="Read_me32"/>
      <sheetName val="link_to_data_-_keep33"/>
      <sheetName val="Output_FPNs33"/>
      <sheetName val="Output_TICs33"/>
      <sheetName val="Output_cautions33"/>
      <sheetName val="Output_convictions33"/>
      <sheetName val="output_OBTJs33"/>
      <sheetName val="Areas_FPNs33"/>
      <sheetName val="Areas_TICs33"/>
      <sheetName val="Areas_cautions34"/>
      <sheetName val="Areas_convictions33"/>
      <sheetName val="Areas_OBTJs33"/>
      <sheetName val="Read_me33"/>
      <sheetName val="link_to_data_-_keep38"/>
      <sheetName val="Output_FPNs38"/>
      <sheetName val="Output_TICs38"/>
      <sheetName val="Output_cautions38"/>
      <sheetName val="Output_convictions38"/>
      <sheetName val="output_OBTJs38"/>
      <sheetName val="Areas_FPNs38"/>
      <sheetName val="Areas_TICs38"/>
      <sheetName val="Areas_cautions39"/>
      <sheetName val="Areas_convictions38"/>
      <sheetName val="Areas_OBTJs38"/>
      <sheetName val="Read_me38"/>
      <sheetName val="link_to_data_-_keep37"/>
      <sheetName val="Output_FPNs37"/>
      <sheetName val="Output_TICs37"/>
      <sheetName val="Output_cautions37"/>
      <sheetName val="Output_convictions37"/>
      <sheetName val="output_OBTJs37"/>
      <sheetName val="Areas_FPNs37"/>
      <sheetName val="Areas_TICs37"/>
      <sheetName val="Areas_cautions38"/>
      <sheetName val="Areas_convictions37"/>
      <sheetName val="Areas_OBTJs37"/>
      <sheetName val="Read_me37"/>
      <sheetName val="link_to_data_-_keep36"/>
      <sheetName val="Output_FPNs36"/>
      <sheetName val="Output_TICs36"/>
      <sheetName val="Output_cautions36"/>
      <sheetName val="Output_convictions36"/>
      <sheetName val="output_OBTJs36"/>
      <sheetName val="Areas_FPNs36"/>
      <sheetName val="Areas_TICs36"/>
      <sheetName val="Areas_cautions37"/>
      <sheetName val="Areas_convictions36"/>
      <sheetName val="Areas_OBTJs36"/>
      <sheetName val="Read_me36"/>
      <sheetName val="link_to_data_-_keep35"/>
      <sheetName val="Output_FPNs35"/>
      <sheetName val="Output_TICs35"/>
      <sheetName val="Output_cautions35"/>
      <sheetName val="Output_convictions35"/>
      <sheetName val="output_OBTJs35"/>
      <sheetName val="Areas_FPNs35"/>
      <sheetName val="Areas_TICs35"/>
      <sheetName val="Areas_cautions36"/>
      <sheetName val="Areas_convictions35"/>
      <sheetName val="Areas_OBTJs35"/>
      <sheetName val="Read_me35"/>
      <sheetName val="link_to_data_-_keep39"/>
      <sheetName val="Output_FPNs39"/>
      <sheetName val="Output_TICs39"/>
      <sheetName val="Output_cautions39"/>
      <sheetName val="Output_convictions39"/>
      <sheetName val="output_OBTJs39"/>
      <sheetName val="Areas_FPNs39"/>
      <sheetName val="Areas_TICs39"/>
      <sheetName val="Areas_cautions40"/>
      <sheetName val="Areas_convictions39"/>
      <sheetName val="Areas_OBTJs39"/>
      <sheetName val="Read_me39"/>
      <sheetName val="link_to_data_-_keep44"/>
      <sheetName val="Output_FPNs44"/>
      <sheetName val="Output_TICs44"/>
      <sheetName val="Output_cautions44"/>
      <sheetName val="Output_convictions44"/>
      <sheetName val="output_OBTJs44"/>
      <sheetName val="Areas_FPNs44"/>
      <sheetName val="Areas_TICs44"/>
      <sheetName val="Areas_cautions45"/>
      <sheetName val="Areas_convictions44"/>
      <sheetName val="Areas_OBTJs44"/>
      <sheetName val="Read_me44"/>
      <sheetName val="link_to_data_-_keep40"/>
      <sheetName val="Output_FPNs40"/>
      <sheetName val="Output_TICs40"/>
      <sheetName val="Output_cautions40"/>
      <sheetName val="Output_convictions40"/>
      <sheetName val="output_OBTJs40"/>
      <sheetName val="Areas_FPNs40"/>
      <sheetName val="Areas_TICs40"/>
      <sheetName val="Areas_cautions41"/>
      <sheetName val="Areas_convictions40"/>
      <sheetName val="Areas_OBTJs40"/>
      <sheetName val="Read_me40"/>
      <sheetName val="link_to_data_-_keep43"/>
      <sheetName val="Output_FPNs43"/>
      <sheetName val="Output_TICs43"/>
      <sheetName val="Output_cautions43"/>
      <sheetName val="Output_convictions43"/>
      <sheetName val="output_OBTJs43"/>
      <sheetName val="Areas_FPNs43"/>
      <sheetName val="Areas_TICs43"/>
      <sheetName val="Areas_cautions44"/>
      <sheetName val="Areas_convictions43"/>
      <sheetName val="Areas_OBTJs43"/>
      <sheetName val="Read_me43"/>
      <sheetName val="link_to_data_-_keep41"/>
      <sheetName val="Output_FPNs41"/>
      <sheetName val="Output_TICs41"/>
      <sheetName val="Output_cautions41"/>
      <sheetName val="Output_convictions41"/>
      <sheetName val="output_OBTJs41"/>
      <sheetName val="Areas_FPNs41"/>
      <sheetName val="Areas_TICs41"/>
      <sheetName val="Areas_cautions42"/>
      <sheetName val="Areas_convictions41"/>
      <sheetName val="Areas_OBTJs41"/>
      <sheetName val="Read_me41"/>
      <sheetName val="link_to_data_-_keep42"/>
      <sheetName val="Output_FPNs42"/>
      <sheetName val="Output_TICs42"/>
      <sheetName val="Output_cautions42"/>
      <sheetName val="Output_convictions42"/>
      <sheetName val="output_OBTJs42"/>
      <sheetName val="Areas_FPNs42"/>
      <sheetName val="Areas_TICs42"/>
      <sheetName val="Areas_cautions43"/>
      <sheetName val="Areas_convictions42"/>
      <sheetName val="Areas_OBTJs42"/>
      <sheetName val="Read_me4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0">
          <cell r="CZ20">
            <v>0</v>
          </cell>
          <cell r="DA20">
            <v>0</v>
          </cell>
          <cell r="DB20">
            <v>0</v>
          </cell>
          <cell r="DC20">
            <v>0</v>
          </cell>
          <cell r="DD20">
            <v>0</v>
          </cell>
          <cell r="DE20">
            <v>0</v>
          </cell>
          <cell r="DF20">
            <v>0</v>
          </cell>
          <cell r="DG20">
            <v>0</v>
          </cell>
          <cell r="DH20">
            <v>0</v>
          </cell>
          <cell r="DI20">
            <v>0</v>
          </cell>
          <cell r="DJ20">
            <v>0</v>
          </cell>
        </row>
        <row r="21">
          <cell r="CZ21">
            <v>0</v>
          </cell>
          <cell r="DA21">
            <v>1</v>
          </cell>
          <cell r="DB21">
            <v>0</v>
          </cell>
          <cell r="DC21">
            <v>0</v>
          </cell>
          <cell r="DD21">
            <v>0</v>
          </cell>
          <cell r="DE21">
            <v>1</v>
          </cell>
          <cell r="DF21">
            <v>0</v>
          </cell>
          <cell r="DG21">
            <v>0</v>
          </cell>
          <cell r="DH21">
            <v>0</v>
          </cell>
          <cell r="DI21">
            <v>0</v>
          </cell>
          <cell r="DJ21">
            <v>0</v>
          </cell>
        </row>
        <row r="22">
          <cell r="CZ22">
            <v>0</v>
          </cell>
          <cell r="DA22">
            <v>0</v>
          </cell>
          <cell r="DB22">
            <v>0</v>
          </cell>
          <cell r="DC22">
            <v>0</v>
          </cell>
          <cell r="DD22">
            <v>0</v>
          </cell>
          <cell r="DE22">
            <v>1</v>
          </cell>
          <cell r="DF22">
            <v>0</v>
          </cell>
          <cell r="DG22">
            <v>0</v>
          </cell>
          <cell r="DH22">
            <v>0</v>
          </cell>
          <cell r="DI22">
            <v>0</v>
          </cell>
          <cell r="DJ22">
            <v>0</v>
          </cell>
        </row>
        <row r="23">
          <cell r="CZ23">
            <v>0</v>
          </cell>
          <cell r="DA23">
            <v>0</v>
          </cell>
          <cell r="DB23">
            <v>0</v>
          </cell>
          <cell r="DC23">
            <v>0</v>
          </cell>
          <cell r="DD23">
            <v>0</v>
          </cell>
          <cell r="DE23">
            <v>0</v>
          </cell>
          <cell r="DF23">
            <v>0</v>
          </cell>
          <cell r="DG23">
            <v>0</v>
          </cell>
          <cell r="DH23">
            <v>0</v>
          </cell>
          <cell r="DI23">
            <v>0</v>
          </cell>
          <cell r="DJ23">
            <v>0</v>
          </cell>
        </row>
        <row r="24">
          <cell r="CZ24">
            <v>0</v>
          </cell>
          <cell r="DA24">
            <v>0</v>
          </cell>
          <cell r="DB24">
            <v>0</v>
          </cell>
          <cell r="DC24">
            <v>0</v>
          </cell>
          <cell r="DD24">
            <v>0</v>
          </cell>
          <cell r="DE24">
            <v>1</v>
          </cell>
          <cell r="DF24">
            <v>1</v>
          </cell>
          <cell r="DG24">
            <v>0</v>
          </cell>
          <cell r="DH24">
            <v>0</v>
          </cell>
          <cell r="DI24">
            <v>0</v>
          </cell>
          <cell r="DJ24">
            <v>0</v>
          </cell>
        </row>
        <row r="25">
          <cell r="CZ25">
            <v>0</v>
          </cell>
          <cell r="DA25">
            <v>0</v>
          </cell>
          <cell r="DB25">
            <v>0</v>
          </cell>
          <cell r="DC25">
            <v>0</v>
          </cell>
          <cell r="DD25">
            <v>0</v>
          </cell>
          <cell r="DE25">
            <v>0</v>
          </cell>
          <cell r="DF25">
            <v>0</v>
          </cell>
          <cell r="DG25">
            <v>0</v>
          </cell>
          <cell r="DH25">
            <v>0</v>
          </cell>
          <cell r="DI25">
            <v>0</v>
          </cell>
          <cell r="DJ25">
            <v>0</v>
          </cell>
        </row>
        <row r="26">
          <cell r="CZ26">
            <v>0</v>
          </cell>
          <cell r="DA26">
            <v>1</v>
          </cell>
          <cell r="DB26">
            <v>0</v>
          </cell>
          <cell r="DC26">
            <v>0</v>
          </cell>
          <cell r="DD26">
            <v>0</v>
          </cell>
          <cell r="DE26">
            <v>0</v>
          </cell>
          <cell r="DF26">
            <v>0</v>
          </cell>
          <cell r="DG26">
            <v>0</v>
          </cell>
          <cell r="DH26">
            <v>0</v>
          </cell>
          <cell r="DI26">
            <v>0</v>
          </cell>
          <cell r="DJ26">
            <v>0</v>
          </cell>
        </row>
        <row r="27">
          <cell r="BP27">
            <v>0</v>
          </cell>
          <cell r="BT27" t="str">
            <v>Lincolnshire</v>
          </cell>
          <cell r="BU27">
            <v>0</v>
          </cell>
          <cell r="BV27">
            <v>0</v>
          </cell>
          <cell r="BW27">
            <v>0</v>
          </cell>
          <cell r="BX27">
            <v>0</v>
          </cell>
          <cell r="BY27">
            <v>0</v>
          </cell>
          <cell r="BZ27">
            <v>0</v>
          </cell>
          <cell r="CA27">
            <v>0</v>
          </cell>
          <cell r="CB27">
            <v>0</v>
          </cell>
          <cell r="CC27">
            <v>0</v>
          </cell>
          <cell r="CD27">
            <v>0</v>
          </cell>
          <cell r="CE27">
            <v>1</v>
          </cell>
          <cell r="CF27">
            <v>0</v>
          </cell>
          <cell r="CG27">
            <v>0</v>
          </cell>
          <cell r="CH27">
            <v>0</v>
          </cell>
          <cell r="CI27">
            <v>0</v>
          </cell>
          <cell r="CJ27">
            <v>0</v>
          </cell>
          <cell r="CK27">
            <v>0</v>
          </cell>
          <cell r="CL27">
            <v>0</v>
          </cell>
          <cell r="CM27">
            <v>0</v>
          </cell>
          <cell r="CN27">
            <v>0</v>
          </cell>
          <cell r="CO27">
            <v>0</v>
          </cell>
          <cell r="CP27">
            <v>1</v>
          </cell>
          <cell r="CQ27">
            <v>0</v>
          </cell>
          <cell r="CR27">
            <v>0</v>
          </cell>
          <cell r="CS27">
            <v>1</v>
          </cell>
          <cell r="CT27">
            <v>1</v>
          </cell>
          <cell r="CU27">
            <v>1</v>
          </cell>
          <cell r="CV27">
            <v>0</v>
          </cell>
          <cell r="CW27">
            <v>0</v>
          </cell>
          <cell r="CX27">
            <v>0</v>
          </cell>
          <cell r="CZ27">
            <v>0</v>
          </cell>
          <cell r="DA27">
            <v>0</v>
          </cell>
          <cell r="DB27">
            <v>0</v>
          </cell>
          <cell r="DC27">
            <v>0</v>
          </cell>
          <cell r="DD27">
            <v>0</v>
          </cell>
          <cell r="DE27">
            <v>0</v>
          </cell>
          <cell r="DF27">
            <v>0</v>
          </cell>
          <cell r="DG27">
            <v>1</v>
          </cell>
          <cell r="DH27">
            <v>0</v>
          </cell>
          <cell r="DI27">
            <v>0</v>
          </cell>
          <cell r="DJ27">
            <v>0</v>
          </cell>
        </row>
        <row r="28">
          <cell r="BP28">
            <v>0</v>
          </cell>
          <cell r="BT28" t="str">
            <v>London</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1</v>
          </cell>
          <cell r="CR28">
            <v>0</v>
          </cell>
          <cell r="CS28">
            <v>0</v>
          </cell>
          <cell r="CT28">
            <v>0</v>
          </cell>
          <cell r="CU28">
            <v>0</v>
          </cell>
          <cell r="CV28">
            <v>0</v>
          </cell>
          <cell r="CW28">
            <v>0</v>
          </cell>
          <cell r="CX28">
            <v>0</v>
          </cell>
          <cell r="CZ28">
            <v>0</v>
          </cell>
          <cell r="DA28">
            <v>0</v>
          </cell>
          <cell r="DB28">
            <v>0</v>
          </cell>
          <cell r="DC28">
            <v>0</v>
          </cell>
          <cell r="DD28">
            <v>0</v>
          </cell>
          <cell r="DE28">
            <v>0</v>
          </cell>
          <cell r="DF28">
            <v>0</v>
          </cell>
          <cell r="DG28">
            <v>0</v>
          </cell>
          <cell r="DH28">
            <v>0</v>
          </cell>
          <cell r="DI28">
            <v>0</v>
          </cell>
          <cell r="DJ28">
            <v>0</v>
          </cell>
        </row>
        <row r="29">
          <cell r="BP29">
            <v>0</v>
          </cell>
          <cell r="BT29" t="str">
            <v>Merseyside</v>
          </cell>
          <cell r="BU29">
            <v>0</v>
          </cell>
          <cell r="BV29">
            <v>0</v>
          </cell>
          <cell r="BW29">
            <v>0</v>
          </cell>
          <cell r="BX29">
            <v>0</v>
          </cell>
          <cell r="BY29">
            <v>1</v>
          </cell>
          <cell r="BZ29">
            <v>0</v>
          </cell>
          <cell r="CA29">
            <v>0</v>
          </cell>
          <cell r="CB29">
            <v>0</v>
          </cell>
          <cell r="CC29">
            <v>0</v>
          </cell>
          <cell r="CD29">
            <v>0</v>
          </cell>
          <cell r="CE29">
            <v>0</v>
          </cell>
          <cell r="CF29">
            <v>0</v>
          </cell>
          <cell r="CG29">
            <v>0</v>
          </cell>
          <cell r="CH29">
            <v>1</v>
          </cell>
          <cell r="CI29">
            <v>0</v>
          </cell>
          <cell r="CJ29">
            <v>0</v>
          </cell>
          <cell r="CK29">
            <v>0</v>
          </cell>
          <cell r="CL29">
            <v>0</v>
          </cell>
          <cell r="CM29">
            <v>0</v>
          </cell>
          <cell r="CN29">
            <v>0</v>
          </cell>
          <cell r="CO29">
            <v>0</v>
          </cell>
          <cell r="CP29">
            <v>0</v>
          </cell>
          <cell r="CQ29">
            <v>1</v>
          </cell>
          <cell r="CR29">
            <v>1</v>
          </cell>
          <cell r="CS29">
            <v>0</v>
          </cell>
          <cell r="CT29">
            <v>0</v>
          </cell>
          <cell r="CU29">
            <v>0</v>
          </cell>
          <cell r="CV29">
            <v>0</v>
          </cell>
          <cell r="CW29">
            <v>1</v>
          </cell>
          <cell r="CX29">
            <v>0</v>
          </cell>
          <cell r="CZ29">
            <v>0</v>
          </cell>
          <cell r="DA29">
            <v>0</v>
          </cell>
          <cell r="DB29">
            <v>0</v>
          </cell>
          <cell r="DC29">
            <v>0</v>
          </cell>
          <cell r="DD29">
            <v>0</v>
          </cell>
          <cell r="DE29">
            <v>0</v>
          </cell>
          <cell r="DF29">
            <v>0</v>
          </cell>
          <cell r="DG29">
            <v>0</v>
          </cell>
          <cell r="DH29">
            <v>1</v>
          </cell>
          <cell r="DI29">
            <v>1</v>
          </cell>
          <cell r="DJ29">
            <v>0</v>
          </cell>
        </row>
        <row r="30">
          <cell r="BP30">
            <v>0</v>
          </cell>
          <cell r="BT30" t="str">
            <v>Norfolk</v>
          </cell>
          <cell r="BU30">
            <v>0</v>
          </cell>
          <cell r="BV30">
            <v>0</v>
          </cell>
          <cell r="BW30">
            <v>0</v>
          </cell>
          <cell r="BX30">
            <v>0</v>
          </cell>
          <cell r="BY30">
            <v>0</v>
          </cell>
          <cell r="BZ30">
            <v>1</v>
          </cell>
          <cell r="CA30">
            <v>1</v>
          </cell>
          <cell r="CB30">
            <v>1</v>
          </cell>
          <cell r="CC30">
            <v>1</v>
          </cell>
          <cell r="CD30">
            <v>0</v>
          </cell>
          <cell r="CE30">
            <v>1</v>
          </cell>
          <cell r="CF30">
            <v>0</v>
          </cell>
          <cell r="CG30">
            <v>1</v>
          </cell>
          <cell r="CH30">
            <v>0</v>
          </cell>
          <cell r="CI30">
            <v>0</v>
          </cell>
          <cell r="CJ30">
            <v>0</v>
          </cell>
          <cell r="CK30">
            <v>0</v>
          </cell>
          <cell r="CL30">
            <v>0</v>
          </cell>
          <cell r="CM30">
            <v>0</v>
          </cell>
          <cell r="CN30">
            <v>0</v>
          </cell>
          <cell r="CO30">
            <v>0</v>
          </cell>
          <cell r="CP30">
            <v>1</v>
          </cell>
          <cell r="CQ30">
            <v>0</v>
          </cell>
          <cell r="CR30">
            <v>0</v>
          </cell>
          <cell r="CS30">
            <v>1</v>
          </cell>
          <cell r="CT30">
            <v>1</v>
          </cell>
          <cell r="CU30">
            <v>1</v>
          </cell>
          <cell r="CV30">
            <v>0</v>
          </cell>
          <cell r="CW30">
            <v>0</v>
          </cell>
          <cell r="CX30">
            <v>0</v>
          </cell>
          <cell r="CZ30">
            <v>0</v>
          </cell>
          <cell r="DA30">
            <v>0</v>
          </cell>
          <cell r="DB30">
            <v>1</v>
          </cell>
          <cell r="DC30">
            <v>0</v>
          </cell>
          <cell r="DD30">
            <v>0</v>
          </cell>
          <cell r="DE30">
            <v>0</v>
          </cell>
          <cell r="DF30">
            <v>0</v>
          </cell>
          <cell r="DG30">
            <v>1</v>
          </cell>
          <cell r="DH30">
            <v>0</v>
          </cell>
          <cell r="DI30">
            <v>0</v>
          </cell>
          <cell r="DJ30">
            <v>0</v>
          </cell>
        </row>
        <row r="31">
          <cell r="BP31">
            <v>0</v>
          </cell>
          <cell r="BT31" t="str">
            <v>North Wales</v>
          </cell>
          <cell r="BU31">
            <v>0</v>
          </cell>
          <cell r="BV31">
            <v>0</v>
          </cell>
          <cell r="BW31">
            <v>0</v>
          </cell>
          <cell r="BX31">
            <v>0</v>
          </cell>
          <cell r="BY31">
            <v>0</v>
          </cell>
          <cell r="BZ31">
            <v>0</v>
          </cell>
          <cell r="CA31">
            <v>0</v>
          </cell>
          <cell r="CB31">
            <v>0</v>
          </cell>
          <cell r="CC31">
            <v>0</v>
          </cell>
          <cell r="CD31">
            <v>0</v>
          </cell>
          <cell r="CE31">
            <v>1</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1</v>
          </cell>
          <cell r="CU31">
            <v>0</v>
          </cell>
          <cell r="CV31">
            <v>0</v>
          </cell>
          <cell r="CW31">
            <v>0</v>
          </cell>
          <cell r="CX31">
            <v>0</v>
          </cell>
          <cell r="CZ31">
            <v>0</v>
          </cell>
          <cell r="DA31">
            <v>0</v>
          </cell>
          <cell r="DB31">
            <v>0</v>
          </cell>
          <cell r="DC31">
            <v>0</v>
          </cell>
          <cell r="DD31">
            <v>0</v>
          </cell>
          <cell r="DE31">
            <v>0</v>
          </cell>
          <cell r="DF31">
            <v>0</v>
          </cell>
          <cell r="DG31">
            <v>0</v>
          </cell>
          <cell r="DH31">
            <v>0</v>
          </cell>
          <cell r="DI31">
            <v>0</v>
          </cell>
          <cell r="DJ31">
            <v>0</v>
          </cell>
        </row>
        <row r="32">
          <cell r="BP32">
            <v>1</v>
          </cell>
          <cell r="BT32" t="str">
            <v>North Yorkshire</v>
          </cell>
          <cell r="BU32">
            <v>0</v>
          </cell>
          <cell r="BV32">
            <v>0</v>
          </cell>
          <cell r="BW32">
            <v>0</v>
          </cell>
          <cell r="BX32">
            <v>0</v>
          </cell>
          <cell r="BY32">
            <v>0</v>
          </cell>
          <cell r="BZ32">
            <v>1</v>
          </cell>
          <cell r="CA32">
            <v>0</v>
          </cell>
          <cell r="CB32">
            <v>1</v>
          </cell>
          <cell r="CC32">
            <v>0</v>
          </cell>
          <cell r="CD32">
            <v>0</v>
          </cell>
          <cell r="CE32">
            <v>1</v>
          </cell>
          <cell r="CF32">
            <v>0</v>
          </cell>
          <cell r="CG32">
            <v>1</v>
          </cell>
          <cell r="CH32">
            <v>0</v>
          </cell>
          <cell r="CI32">
            <v>0</v>
          </cell>
          <cell r="CJ32">
            <v>0</v>
          </cell>
          <cell r="CK32">
            <v>0</v>
          </cell>
          <cell r="CL32">
            <v>0</v>
          </cell>
          <cell r="CM32">
            <v>0</v>
          </cell>
          <cell r="CN32">
            <v>0</v>
          </cell>
          <cell r="CO32">
            <v>0</v>
          </cell>
          <cell r="CP32">
            <v>1</v>
          </cell>
          <cell r="CQ32">
            <v>0</v>
          </cell>
          <cell r="CR32">
            <v>0</v>
          </cell>
          <cell r="CS32">
            <v>1</v>
          </cell>
          <cell r="CT32">
            <v>1</v>
          </cell>
          <cell r="CU32">
            <v>1</v>
          </cell>
          <cell r="CV32">
            <v>0</v>
          </cell>
          <cell r="CW32">
            <v>0</v>
          </cell>
          <cell r="CX32">
            <v>0</v>
          </cell>
          <cell r="CZ32">
            <v>0</v>
          </cell>
          <cell r="DA32">
            <v>0</v>
          </cell>
          <cell r="DB32">
            <v>1</v>
          </cell>
          <cell r="DC32">
            <v>0</v>
          </cell>
          <cell r="DD32">
            <v>0</v>
          </cell>
          <cell r="DE32">
            <v>0</v>
          </cell>
          <cell r="DF32">
            <v>0</v>
          </cell>
          <cell r="DG32">
            <v>0</v>
          </cell>
          <cell r="DH32">
            <v>0</v>
          </cell>
          <cell r="DI32">
            <v>0</v>
          </cell>
          <cell r="DJ32">
            <v>1</v>
          </cell>
        </row>
        <row r="33">
          <cell r="BP33">
            <v>0</v>
          </cell>
          <cell r="BT33" t="str">
            <v>Northamptonshire</v>
          </cell>
          <cell r="BU33">
            <v>1</v>
          </cell>
          <cell r="BV33">
            <v>1</v>
          </cell>
          <cell r="BW33">
            <v>1</v>
          </cell>
          <cell r="BX33">
            <v>1</v>
          </cell>
          <cell r="BY33">
            <v>0</v>
          </cell>
          <cell r="BZ33">
            <v>0</v>
          </cell>
          <cell r="CA33">
            <v>0</v>
          </cell>
          <cell r="CB33">
            <v>0</v>
          </cell>
          <cell r="CC33">
            <v>0</v>
          </cell>
          <cell r="CD33">
            <v>0</v>
          </cell>
          <cell r="CE33">
            <v>0</v>
          </cell>
          <cell r="CF33">
            <v>0</v>
          </cell>
          <cell r="CG33">
            <v>0</v>
          </cell>
          <cell r="CH33">
            <v>0</v>
          </cell>
          <cell r="CI33">
            <v>1</v>
          </cell>
          <cell r="CJ33">
            <v>1</v>
          </cell>
          <cell r="CK33">
            <v>1</v>
          </cell>
          <cell r="CL33">
            <v>0</v>
          </cell>
          <cell r="CM33">
            <v>1</v>
          </cell>
          <cell r="CN33">
            <v>0</v>
          </cell>
          <cell r="CO33">
            <v>1</v>
          </cell>
          <cell r="CP33">
            <v>0</v>
          </cell>
          <cell r="CQ33">
            <v>0</v>
          </cell>
          <cell r="CR33">
            <v>0</v>
          </cell>
          <cell r="CS33">
            <v>0</v>
          </cell>
          <cell r="CT33">
            <v>0</v>
          </cell>
          <cell r="CU33">
            <v>0</v>
          </cell>
          <cell r="CV33">
            <v>1</v>
          </cell>
          <cell r="CW33">
            <v>0</v>
          </cell>
          <cell r="CX33">
            <v>0</v>
          </cell>
          <cell r="CZ33">
            <v>0</v>
          </cell>
          <cell r="DA33">
            <v>1</v>
          </cell>
          <cell r="DB33">
            <v>0</v>
          </cell>
          <cell r="DC33">
            <v>0</v>
          </cell>
          <cell r="DD33">
            <v>0</v>
          </cell>
          <cell r="DE33">
            <v>1</v>
          </cell>
          <cell r="DF33">
            <v>1</v>
          </cell>
          <cell r="DG33">
            <v>0</v>
          </cell>
          <cell r="DH33">
            <v>0</v>
          </cell>
          <cell r="DI33">
            <v>0</v>
          </cell>
          <cell r="DJ33">
            <v>0</v>
          </cell>
        </row>
        <row r="34">
          <cell r="BP34">
            <v>0</v>
          </cell>
          <cell r="BT34" t="str">
            <v>Northumbria</v>
          </cell>
          <cell r="BU34">
            <v>0</v>
          </cell>
          <cell r="BV34">
            <v>0</v>
          </cell>
          <cell r="BW34">
            <v>0</v>
          </cell>
          <cell r="BX34">
            <v>0</v>
          </cell>
          <cell r="BY34">
            <v>1</v>
          </cell>
          <cell r="BZ34">
            <v>0</v>
          </cell>
          <cell r="CA34">
            <v>0</v>
          </cell>
          <cell r="CB34">
            <v>0</v>
          </cell>
          <cell r="CC34">
            <v>0</v>
          </cell>
          <cell r="CD34">
            <v>0</v>
          </cell>
          <cell r="CE34">
            <v>0</v>
          </cell>
          <cell r="CF34">
            <v>0</v>
          </cell>
          <cell r="CG34">
            <v>0</v>
          </cell>
          <cell r="CH34">
            <v>1</v>
          </cell>
          <cell r="CI34">
            <v>0</v>
          </cell>
          <cell r="CJ34">
            <v>0</v>
          </cell>
          <cell r="CK34">
            <v>0</v>
          </cell>
          <cell r="CL34">
            <v>0</v>
          </cell>
          <cell r="CM34">
            <v>0</v>
          </cell>
          <cell r="CN34">
            <v>0</v>
          </cell>
          <cell r="CO34">
            <v>0</v>
          </cell>
          <cell r="CP34">
            <v>0</v>
          </cell>
          <cell r="CQ34">
            <v>0</v>
          </cell>
          <cell r="CR34">
            <v>1</v>
          </cell>
          <cell r="CS34">
            <v>0</v>
          </cell>
          <cell r="CT34">
            <v>0</v>
          </cell>
          <cell r="CU34">
            <v>0</v>
          </cell>
          <cell r="CV34">
            <v>0</v>
          </cell>
          <cell r="CW34">
            <v>1</v>
          </cell>
          <cell r="CX34">
            <v>0</v>
          </cell>
          <cell r="CZ34">
            <v>1</v>
          </cell>
          <cell r="DA34">
            <v>0</v>
          </cell>
          <cell r="DB34">
            <v>0</v>
          </cell>
          <cell r="DC34">
            <v>0</v>
          </cell>
          <cell r="DD34">
            <v>0</v>
          </cell>
          <cell r="DE34">
            <v>0</v>
          </cell>
          <cell r="DF34">
            <v>0</v>
          </cell>
          <cell r="DG34">
            <v>0</v>
          </cell>
          <cell r="DH34">
            <v>1</v>
          </cell>
          <cell r="DI34">
            <v>1</v>
          </cell>
          <cell r="DJ34">
            <v>0</v>
          </cell>
        </row>
        <row r="35">
          <cell r="BP35">
            <v>0</v>
          </cell>
          <cell r="BT35" t="str">
            <v>Nottinghamshire</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1</v>
          </cell>
          <cell r="CP35">
            <v>0</v>
          </cell>
          <cell r="CQ35">
            <v>0</v>
          </cell>
          <cell r="CR35">
            <v>0</v>
          </cell>
          <cell r="CS35">
            <v>0</v>
          </cell>
          <cell r="CT35">
            <v>0</v>
          </cell>
          <cell r="CU35">
            <v>0</v>
          </cell>
          <cell r="CV35">
            <v>0</v>
          </cell>
          <cell r="CW35">
            <v>0</v>
          </cell>
          <cell r="CX35">
            <v>1</v>
          </cell>
          <cell r="CZ35">
            <v>1</v>
          </cell>
          <cell r="DA35">
            <v>0</v>
          </cell>
          <cell r="DB35">
            <v>0</v>
          </cell>
          <cell r="DC35">
            <v>0</v>
          </cell>
          <cell r="DD35">
            <v>0</v>
          </cell>
          <cell r="DE35">
            <v>0</v>
          </cell>
          <cell r="DF35">
            <v>0</v>
          </cell>
          <cell r="DG35">
            <v>0</v>
          </cell>
          <cell r="DH35">
            <v>0</v>
          </cell>
          <cell r="DI35">
            <v>0</v>
          </cell>
          <cell r="DJ35">
            <v>0</v>
          </cell>
        </row>
        <row r="36">
          <cell r="BP36">
            <v>0</v>
          </cell>
          <cell r="BT36" t="str">
            <v>South Wales</v>
          </cell>
          <cell r="BU36">
            <v>0</v>
          </cell>
          <cell r="BV36">
            <v>0</v>
          </cell>
          <cell r="BW36">
            <v>0</v>
          </cell>
          <cell r="BX36">
            <v>0</v>
          </cell>
          <cell r="BY36">
            <v>0</v>
          </cell>
          <cell r="BZ36">
            <v>0</v>
          </cell>
          <cell r="CA36">
            <v>0</v>
          </cell>
          <cell r="CB36">
            <v>0</v>
          </cell>
          <cell r="CC36">
            <v>0</v>
          </cell>
          <cell r="CD36">
            <v>1</v>
          </cell>
          <cell r="CE36">
            <v>0</v>
          </cell>
          <cell r="CF36">
            <v>0</v>
          </cell>
          <cell r="CG36">
            <v>0</v>
          </cell>
          <cell r="CH36">
            <v>0</v>
          </cell>
          <cell r="CI36">
            <v>1</v>
          </cell>
          <cell r="CJ36">
            <v>0</v>
          </cell>
          <cell r="CK36">
            <v>0</v>
          </cell>
          <cell r="CL36">
            <v>1</v>
          </cell>
          <cell r="CM36">
            <v>0</v>
          </cell>
          <cell r="CN36">
            <v>1</v>
          </cell>
          <cell r="CO36">
            <v>0</v>
          </cell>
          <cell r="CP36">
            <v>0</v>
          </cell>
          <cell r="CQ36">
            <v>0</v>
          </cell>
          <cell r="CR36">
            <v>0</v>
          </cell>
          <cell r="CS36">
            <v>0</v>
          </cell>
          <cell r="CT36">
            <v>0</v>
          </cell>
          <cell r="CU36">
            <v>0</v>
          </cell>
          <cell r="CV36">
            <v>0</v>
          </cell>
          <cell r="CW36">
            <v>0</v>
          </cell>
          <cell r="CX36">
            <v>0</v>
          </cell>
          <cell r="CZ36">
            <v>1</v>
          </cell>
          <cell r="DA36">
            <v>0</v>
          </cell>
          <cell r="DB36">
            <v>0</v>
          </cell>
          <cell r="DC36">
            <v>0</v>
          </cell>
          <cell r="DD36">
            <v>0</v>
          </cell>
          <cell r="DE36">
            <v>0</v>
          </cell>
          <cell r="DF36">
            <v>0</v>
          </cell>
          <cell r="DG36">
            <v>0</v>
          </cell>
          <cell r="DH36">
            <v>0</v>
          </cell>
          <cell r="DI36">
            <v>0</v>
          </cell>
          <cell r="DJ36">
            <v>0</v>
          </cell>
        </row>
        <row r="37">
          <cell r="BP37">
            <v>0</v>
          </cell>
          <cell r="BT37" t="str">
            <v>South Yorkshire</v>
          </cell>
          <cell r="BU37">
            <v>0</v>
          </cell>
          <cell r="BV37">
            <v>0</v>
          </cell>
          <cell r="BW37">
            <v>0</v>
          </cell>
          <cell r="BX37">
            <v>0</v>
          </cell>
          <cell r="BY37">
            <v>1</v>
          </cell>
          <cell r="BZ37">
            <v>0</v>
          </cell>
          <cell r="CA37">
            <v>0</v>
          </cell>
          <cell r="CB37">
            <v>0</v>
          </cell>
          <cell r="CC37">
            <v>0</v>
          </cell>
          <cell r="CD37">
            <v>0</v>
          </cell>
          <cell r="CE37">
            <v>0</v>
          </cell>
          <cell r="CF37">
            <v>0</v>
          </cell>
          <cell r="CG37">
            <v>0</v>
          </cell>
          <cell r="CH37">
            <v>1</v>
          </cell>
          <cell r="CI37">
            <v>0</v>
          </cell>
          <cell r="CJ37">
            <v>0</v>
          </cell>
          <cell r="CK37">
            <v>0</v>
          </cell>
          <cell r="CL37">
            <v>1</v>
          </cell>
          <cell r="CM37">
            <v>0</v>
          </cell>
          <cell r="CN37">
            <v>0</v>
          </cell>
          <cell r="CO37">
            <v>0</v>
          </cell>
          <cell r="CP37">
            <v>0</v>
          </cell>
          <cell r="CQ37">
            <v>0</v>
          </cell>
          <cell r="CR37">
            <v>0</v>
          </cell>
          <cell r="CS37">
            <v>0</v>
          </cell>
          <cell r="CT37">
            <v>0</v>
          </cell>
          <cell r="CU37">
            <v>0</v>
          </cell>
          <cell r="CV37">
            <v>0</v>
          </cell>
          <cell r="CW37">
            <v>1</v>
          </cell>
          <cell r="CX37">
            <v>1</v>
          </cell>
          <cell r="CY37">
            <v>1</v>
          </cell>
          <cell r="CZ37">
            <v>1</v>
          </cell>
          <cell r="DA37">
            <v>0</v>
          </cell>
          <cell r="DB37">
            <v>0</v>
          </cell>
          <cell r="DC37">
            <v>0</v>
          </cell>
          <cell r="DD37">
            <v>0</v>
          </cell>
          <cell r="DE37">
            <v>0</v>
          </cell>
          <cell r="DF37">
            <v>0</v>
          </cell>
          <cell r="DG37">
            <v>0</v>
          </cell>
          <cell r="DH37">
            <v>1</v>
          </cell>
          <cell r="DI37">
            <v>1</v>
          </cell>
          <cell r="DJ37">
            <v>0</v>
          </cell>
        </row>
        <row r="38">
          <cell r="BP38">
            <v>0</v>
          </cell>
          <cell r="BT38" t="str">
            <v>Staffordshire</v>
          </cell>
          <cell r="BU38">
            <v>0</v>
          </cell>
          <cell r="BV38">
            <v>0</v>
          </cell>
          <cell r="BW38">
            <v>1</v>
          </cell>
          <cell r="BX38">
            <v>1</v>
          </cell>
          <cell r="BY38">
            <v>0</v>
          </cell>
          <cell r="BZ38">
            <v>0</v>
          </cell>
          <cell r="CA38">
            <v>1</v>
          </cell>
          <cell r="CB38">
            <v>0</v>
          </cell>
          <cell r="CC38">
            <v>0</v>
          </cell>
          <cell r="CD38">
            <v>0</v>
          </cell>
          <cell r="CE38">
            <v>0</v>
          </cell>
          <cell r="CF38">
            <v>0</v>
          </cell>
          <cell r="CG38">
            <v>0</v>
          </cell>
          <cell r="CH38">
            <v>0</v>
          </cell>
          <cell r="CI38">
            <v>0</v>
          </cell>
          <cell r="CJ38">
            <v>0</v>
          </cell>
          <cell r="CK38">
            <v>0</v>
          </cell>
          <cell r="CL38">
            <v>0</v>
          </cell>
          <cell r="CM38">
            <v>0</v>
          </cell>
          <cell r="CN38">
            <v>0</v>
          </cell>
          <cell r="CO38">
            <v>1</v>
          </cell>
          <cell r="CP38">
            <v>0</v>
          </cell>
          <cell r="CQ38">
            <v>0</v>
          </cell>
          <cell r="CR38">
            <v>0</v>
          </cell>
          <cell r="CS38">
            <v>0</v>
          </cell>
          <cell r="CT38">
            <v>0</v>
          </cell>
          <cell r="CU38">
            <v>0</v>
          </cell>
          <cell r="CV38">
            <v>1</v>
          </cell>
          <cell r="CW38">
            <v>0</v>
          </cell>
          <cell r="CX38">
            <v>0</v>
          </cell>
          <cell r="CY38">
            <v>0</v>
          </cell>
          <cell r="CZ38">
            <v>0</v>
          </cell>
          <cell r="DA38">
            <v>1</v>
          </cell>
          <cell r="DB38">
            <v>0</v>
          </cell>
          <cell r="DC38">
            <v>0</v>
          </cell>
          <cell r="DD38">
            <v>0</v>
          </cell>
          <cell r="DE38">
            <v>0</v>
          </cell>
          <cell r="DF38">
            <v>0</v>
          </cell>
          <cell r="DG38">
            <v>0</v>
          </cell>
          <cell r="DH38">
            <v>0</v>
          </cell>
          <cell r="DI38">
            <v>0</v>
          </cell>
          <cell r="DJ38">
            <v>0</v>
          </cell>
        </row>
        <row r="39">
          <cell r="BP39">
            <v>1</v>
          </cell>
          <cell r="BT39" t="str">
            <v>Suffolk</v>
          </cell>
          <cell r="BU39">
            <v>0</v>
          </cell>
          <cell r="BV39">
            <v>0</v>
          </cell>
          <cell r="BW39">
            <v>1</v>
          </cell>
          <cell r="BX39">
            <v>0</v>
          </cell>
          <cell r="BY39">
            <v>0</v>
          </cell>
          <cell r="BZ39">
            <v>1</v>
          </cell>
          <cell r="CA39">
            <v>0</v>
          </cell>
          <cell r="CB39">
            <v>1</v>
          </cell>
          <cell r="CC39">
            <v>1</v>
          </cell>
          <cell r="CD39">
            <v>0</v>
          </cell>
          <cell r="CE39">
            <v>1</v>
          </cell>
          <cell r="CF39">
            <v>0</v>
          </cell>
          <cell r="CG39">
            <v>1</v>
          </cell>
          <cell r="CH39">
            <v>0</v>
          </cell>
          <cell r="CI39">
            <v>0</v>
          </cell>
          <cell r="CJ39">
            <v>0</v>
          </cell>
          <cell r="CK39">
            <v>0</v>
          </cell>
          <cell r="CL39">
            <v>0</v>
          </cell>
          <cell r="CM39">
            <v>0</v>
          </cell>
          <cell r="CN39">
            <v>0</v>
          </cell>
          <cell r="CO39">
            <v>0</v>
          </cell>
          <cell r="CP39">
            <v>1</v>
          </cell>
          <cell r="CQ39">
            <v>0</v>
          </cell>
          <cell r="CR39">
            <v>0</v>
          </cell>
          <cell r="CS39">
            <v>1</v>
          </cell>
          <cell r="CT39">
            <v>1</v>
          </cell>
          <cell r="CU39">
            <v>1</v>
          </cell>
          <cell r="CV39">
            <v>0</v>
          </cell>
          <cell r="CW39">
            <v>0</v>
          </cell>
          <cell r="CX39">
            <v>0</v>
          </cell>
          <cell r="CY39">
            <v>0</v>
          </cell>
          <cell r="CZ39">
            <v>0</v>
          </cell>
          <cell r="DA39">
            <v>0</v>
          </cell>
          <cell r="DB39">
            <v>1</v>
          </cell>
          <cell r="DC39">
            <v>0</v>
          </cell>
          <cell r="DD39">
            <v>0</v>
          </cell>
          <cell r="DE39">
            <v>0</v>
          </cell>
          <cell r="DF39">
            <v>0</v>
          </cell>
          <cell r="DG39">
            <v>1</v>
          </cell>
          <cell r="DH39">
            <v>0</v>
          </cell>
          <cell r="DI39">
            <v>0</v>
          </cell>
          <cell r="DJ39">
            <v>1</v>
          </cell>
        </row>
        <row r="40">
          <cell r="BP40">
            <v>0</v>
          </cell>
          <cell r="BT40" t="str">
            <v>Surrey</v>
          </cell>
          <cell r="BU40">
            <v>0</v>
          </cell>
          <cell r="BV40">
            <v>0</v>
          </cell>
          <cell r="BW40">
            <v>0</v>
          </cell>
          <cell r="BX40">
            <v>0</v>
          </cell>
          <cell r="BY40">
            <v>0</v>
          </cell>
          <cell r="BZ40">
            <v>0</v>
          </cell>
          <cell r="CA40">
            <v>0</v>
          </cell>
          <cell r="CB40">
            <v>0</v>
          </cell>
          <cell r="CC40">
            <v>1</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1</v>
          </cell>
          <cell r="DD40">
            <v>0</v>
          </cell>
          <cell r="DE40">
            <v>0</v>
          </cell>
          <cell r="DF40">
            <v>0</v>
          </cell>
          <cell r="DG40">
            <v>0</v>
          </cell>
          <cell r="DH40">
            <v>0</v>
          </cell>
          <cell r="DI40">
            <v>0</v>
          </cell>
          <cell r="DJ40">
            <v>0</v>
          </cell>
        </row>
        <row r="41">
          <cell r="BP41">
            <v>0</v>
          </cell>
          <cell r="BT41" t="str">
            <v>Sussex</v>
          </cell>
          <cell r="BU41">
            <v>0</v>
          </cell>
          <cell r="BV41">
            <v>0</v>
          </cell>
          <cell r="BW41">
            <v>0</v>
          </cell>
          <cell r="BX41">
            <v>0</v>
          </cell>
          <cell r="BY41">
            <v>0</v>
          </cell>
          <cell r="BZ41">
            <v>0</v>
          </cell>
          <cell r="CA41">
            <v>0</v>
          </cell>
          <cell r="CB41">
            <v>0</v>
          </cell>
          <cell r="CC41">
            <v>1</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1</v>
          </cell>
          <cell r="DE41">
            <v>0</v>
          </cell>
          <cell r="DF41">
            <v>0</v>
          </cell>
          <cell r="DG41">
            <v>0</v>
          </cell>
          <cell r="DH41">
            <v>0</v>
          </cell>
          <cell r="DI41">
            <v>0</v>
          </cell>
          <cell r="DJ41">
            <v>0</v>
          </cell>
        </row>
        <row r="42">
          <cell r="BP42">
            <v>0</v>
          </cell>
          <cell r="BT42" t="str">
            <v>Thames Valley</v>
          </cell>
          <cell r="BU42">
            <v>0</v>
          </cell>
          <cell r="BV42">
            <v>0</v>
          </cell>
          <cell r="BW42">
            <v>1</v>
          </cell>
          <cell r="BX42">
            <v>0</v>
          </cell>
          <cell r="BY42">
            <v>0</v>
          </cell>
          <cell r="BZ42">
            <v>0</v>
          </cell>
          <cell r="CA42">
            <v>0</v>
          </cell>
          <cell r="CB42">
            <v>0</v>
          </cell>
          <cell r="CC42">
            <v>0</v>
          </cell>
          <cell r="CD42">
            <v>0</v>
          </cell>
          <cell r="CE42">
            <v>0</v>
          </cell>
          <cell r="CF42">
            <v>0</v>
          </cell>
          <cell r="CG42">
            <v>0</v>
          </cell>
          <cell r="CH42">
            <v>0</v>
          </cell>
          <cell r="CI42">
            <v>0</v>
          </cell>
          <cell r="CJ42">
            <v>1</v>
          </cell>
          <cell r="CK42">
            <v>1</v>
          </cell>
          <cell r="CL42">
            <v>0</v>
          </cell>
          <cell r="CM42">
            <v>0</v>
          </cell>
          <cell r="CN42">
            <v>0</v>
          </cell>
          <cell r="CO42">
            <v>1</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1</v>
          </cell>
          <cell r="DF42">
            <v>0</v>
          </cell>
          <cell r="DG42">
            <v>0</v>
          </cell>
          <cell r="DH42">
            <v>0</v>
          </cell>
          <cell r="DI42">
            <v>0</v>
          </cell>
          <cell r="DJ42">
            <v>0</v>
          </cell>
        </row>
        <row r="43">
          <cell r="BP43">
            <v>1</v>
          </cell>
          <cell r="BT43" t="str">
            <v>Warwickshire</v>
          </cell>
          <cell r="BU43">
            <v>0</v>
          </cell>
          <cell r="BV43">
            <v>0</v>
          </cell>
          <cell r="BW43">
            <v>1</v>
          </cell>
          <cell r="BX43">
            <v>1</v>
          </cell>
          <cell r="BY43">
            <v>0</v>
          </cell>
          <cell r="BZ43">
            <v>0</v>
          </cell>
          <cell r="CA43">
            <v>1</v>
          </cell>
          <cell r="CB43">
            <v>0</v>
          </cell>
          <cell r="CC43">
            <v>0</v>
          </cell>
          <cell r="CD43">
            <v>0</v>
          </cell>
          <cell r="CE43">
            <v>0</v>
          </cell>
          <cell r="CF43">
            <v>1</v>
          </cell>
          <cell r="CG43">
            <v>1</v>
          </cell>
          <cell r="CH43">
            <v>0</v>
          </cell>
          <cell r="CI43">
            <v>0</v>
          </cell>
          <cell r="CJ43">
            <v>0</v>
          </cell>
          <cell r="CK43">
            <v>1</v>
          </cell>
          <cell r="CL43">
            <v>0</v>
          </cell>
          <cell r="CM43">
            <v>1</v>
          </cell>
          <cell r="CN43">
            <v>0</v>
          </cell>
          <cell r="CO43">
            <v>0</v>
          </cell>
          <cell r="CP43">
            <v>0</v>
          </cell>
          <cell r="CQ43">
            <v>0</v>
          </cell>
          <cell r="CR43">
            <v>0</v>
          </cell>
          <cell r="CS43">
            <v>0</v>
          </cell>
          <cell r="CT43">
            <v>0</v>
          </cell>
          <cell r="CU43">
            <v>1</v>
          </cell>
          <cell r="CV43">
            <v>1</v>
          </cell>
          <cell r="CW43">
            <v>0</v>
          </cell>
          <cell r="CX43">
            <v>0</v>
          </cell>
          <cell r="CY43">
            <v>0</v>
          </cell>
          <cell r="CZ43">
            <v>0</v>
          </cell>
          <cell r="DA43">
            <v>1</v>
          </cell>
          <cell r="DB43">
            <v>1</v>
          </cell>
          <cell r="DC43">
            <v>1</v>
          </cell>
          <cell r="DD43">
            <v>0</v>
          </cell>
          <cell r="DE43">
            <v>1</v>
          </cell>
          <cell r="DF43">
            <v>1</v>
          </cell>
          <cell r="DG43">
            <v>1</v>
          </cell>
          <cell r="DH43">
            <v>0</v>
          </cell>
          <cell r="DI43">
            <v>0</v>
          </cell>
          <cell r="DJ43">
            <v>1</v>
          </cell>
        </row>
        <row r="44">
          <cell r="CW44">
            <v>0</v>
          </cell>
          <cell r="CX44">
            <v>0</v>
          </cell>
          <cell r="CY44">
            <v>0</v>
          </cell>
          <cell r="CZ44">
            <v>0</v>
          </cell>
          <cell r="DA44">
            <v>0</v>
          </cell>
          <cell r="DB44">
            <v>0</v>
          </cell>
          <cell r="DC44">
            <v>1</v>
          </cell>
          <cell r="DD44">
            <v>0</v>
          </cell>
          <cell r="DE44">
            <v>0</v>
          </cell>
          <cell r="DF44">
            <v>1</v>
          </cell>
          <cell r="DG44">
            <v>1</v>
          </cell>
          <cell r="DH44">
            <v>0</v>
          </cell>
          <cell r="DI44">
            <v>0</v>
          </cell>
          <cell r="DJ44">
            <v>1</v>
          </cell>
        </row>
        <row r="45">
          <cell r="CW45">
            <v>1</v>
          </cell>
          <cell r="CX45">
            <v>0</v>
          </cell>
          <cell r="CY45">
            <v>0</v>
          </cell>
          <cell r="CZ45">
            <v>1</v>
          </cell>
          <cell r="DA45">
            <v>0</v>
          </cell>
          <cell r="DB45">
            <v>0</v>
          </cell>
          <cell r="DC45">
            <v>0</v>
          </cell>
          <cell r="DD45">
            <v>0</v>
          </cell>
          <cell r="DE45">
            <v>0</v>
          </cell>
          <cell r="DF45">
            <v>0</v>
          </cell>
          <cell r="DG45">
            <v>0</v>
          </cell>
          <cell r="DH45">
            <v>1</v>
          </cell>
          <cell r="DI45">
            <v>1</v>
          </cell>
          <cell r="DJ45">
            <v>0</v>
          </cell>
        </row>
        <row r="46">
          <cell r="CW46">
            <v>1</v>
          </cell>
          <cell r="CX46">
            <v>0</v>
          </cell>
          <cell r="CY46">
            <v>1</v>
          </cell>
          <cell r="CZ46">
            <v>1</v>
          </cell>
          <cell r="DA46">
            <v>0</v>
          </cell>
          <cell r="DB46">
            <v>0</v>
          </cell>
          <cell r="DC46">
            <v>0</v>
          </cell>
          <cell r="DD46">
            <v>0</v>
          </cell>
          <cell r="DE46">
            <v>0</v>
          </cell>
          <cell r="DF46">
            <v>0</v>
          </cell>
          <cell r="DG46">
            <v>0</v>
          </cell>
          <cell r="DH46">
            <v>1</v>
          </cell>
          <cell r="DI46">
            <v>1</v>
          </cell>
          <cell r="DJ46">
            <v>0</v>
          </cell>
        </row>
        <row r="47">
          <cell r="CW47">
            <v>0</v>
          </cell>
          <cell r="CX47">
            <v>0</v>
          </cell>
          <cell r="CY47">
            <v>0</v>
          </cell>
          <cell r="CZ47">
            <v>0</v>
          </cell>
          <cell r="DA47">
            <v>0</v>
          </cell>
          <cell r="DB47">
            <v>1</v>
          </cell>
          <cell r="DC47">
            <v>1</v>
          </cell>
          <cell r="DD47">
            <v>0</v>
          </cell>
          <cell r="DE47">
            <v>0</v>
          </cell>
          <cell r="DF47">
            <v>1</v>
          </cell>
          <cell r="DG47">
            <v>1</v>
          </cell>
          <cell r="DH47">
            <v>0</v>
          </cell>
          <cell r="DI47">
            <v>0</v>
          </cell>
          <cell r="DJ47">
            <v>1</v>
          </cell>
        </row>
        <row r="50">
          <cell r="CW50">
            <v>20117.593410270943</v>
          </cell>
          <cell r="CX50">
            <v>20677.959122483971</v>
          </cell>
          <cell r="CY50">
            <v>16878.898998453842</v>
          </cell>
          <cell r="CZ50">
            <v>20273.310808127651</v>
          </cell>
          <cell r="DA50">
            <v>11908.726047594695</v>
          </cell>
          <cell r="DB50">
            <v>6028.6735583338586</v>
          </cell>
          <cell r="DC50">
            <v>8667.4775437201915</v>
          </cell>
          <cell r="DD50">
            <v>16140.74876747395</v>
          </cell>
          <cell r="DE50">
            <v>24068.87747884421</v>
          </cell>
          <cell r="DF50">
            <v>5378.3590907302805</v>
          </cell>
          <cell r="DG50">
            <v>11385.13433723195</v>
          </cell>
          <cell r="DH50">
            <v>41612.200574183938</v>
          </cell>
          <cell r="DI50">
            <v>37383.651059821292</v>
          </cell>
          <cell r="DJ50">
            <v>4970.690475675442</v>
          </cell>
        </row>
        <row r="51">
          <cell r="CW51">
            <v>249.94513272777476</v>
          </cell>
          <cell r="CX51">
            <v>384.91367544449668</v>
          </cell>
          <cell r="CY51">
            <v>141.85856080190482</v>
          </cell>
          <cell r="CZ51">
            <v>107.36256137454711</v>
          </cell>
          <cell r="DA51">
            <v>146.46289948208343</v>
          </cell>
          <cell r="DB51">
            <v>129.10126087591172</v>
          </cell>
          <cell r="DC51">
            <v>141.6893172310516</v>
          </cell>
          <cell r="DD51">
            <v>179.01015268917504</v>
          </cell>
          <cell r="DE51">
            <v>210.76571419862793</v>
          </cell>
          <cell r="DF51">
            <v>47.878567573266594</v>
          </cell>
          <cell r="DG51">
            <v>145.70479391660334</v>
          </cell>
          <cell r="DH51">
            <v>323.65844047675108</v>
          </cell>
          <cell r="DI51">
            <v>584.45832153438744</v>
          </cell>
          <cell r="DJ51">
            <v>39.80435732474475</v>
          </cell>
        </row>
        <row r="52">
          <cell r="CW52">
            <v>1.2424206396385685E-2</v>
          </cell>
          <cell r="CX52">
            <v>1.861468402971958E-2</v>
          </cell>
          <cell r="CY52">
            <v>8.4044913601828818E-3</v>
          </cell>
          <cell r="CZ52">
            <v>5.2957586647122794E-3</v>
          </cell>
          <cell r="DA52">
            <v>1.2298788207632484E-2</v>
          </cell>
          <cell r="DB52">
            <v>2.1414538310412574E-2</v>
          </cell>
          <cell r="DC52">
            <v>1.6347237880496055E-2</v>
          </cell>
          <cell r="DD52">
            <v>1.1090573012939002E-2</v>
          </cell>
          <cell r="DE52">
            <v>8.7567737375323969E-3</v>
          </cell>
          <cell r="DF52">
            <v>8.9020771513353119E-3</v>
          </cell>
          <cell r="DG52">
            <v>1.2797810688989053E-2</v>
          </cell>
          <cell r="DH52">
            <v>7.7779698264154673E-3</v>
          </cell>
          <cell r="DI52">
            <v>1.5634062082356206E-2</v>
          </cell>
          <cell r="DJ52">
            <v>8.0078124999999993E-3</v>
          </cell>
        </row>
        <row r="53">
          <cell r="CW53">
            <v>198799</v>
          </cell>
          <cell r="CX53">
            <v>86552</v>
          </cell>
          <cell r="CY53">
            <v>145424</v>
          </cell>
          <cell r="CZ53">
            <v>216763</v>
          </cell>
          <cell r="DA53">
            <v>86615</v>
          </cell>
          <cell r="DB53">
            <v>60612</v>
          </cell>
          <cell r="DC53">
            <v>69561</v>
          </cell>
          <cell r="DD53">
            <v>78358</v>
          </cell>
          <cell r="DE53">
            <v>109905</v>
          </cell>
          <cell r="DF53">
            <v>85587</v>
          </cell>
          <cell r="DG53">
            <v>62048</v>
          </cell>
          <cell r="DH53">
            <v>198799</v>
          </cell>
          <cell r="DI53">
            <v>189442</v>
          </cell>
          <cell r="DJ53">
            <v>63074</v>
          </cell>
        </row>
        <row r="54">
          <cell r="CW54">
            <v>1683</v>
          </cell>
          <cell r="CX54">
            <v>799</v>
          </cell>
          <cell r="CY54">
            <v>1608</v>
          </cell>
          <cell r="CZ54">
            <v>2196</v>
          </cell>
          <cell r="DA54">
            <v>779</v>
          </cell>
          <cell r="DB54">
            <v>682</v>
          </cell>
          <cell r="DC54">
            <v>861</v>
          </cell>
          <cell r="DD54">
            <v>774</v>
          </cell>
          <cell r="DE54">
            <v>1188</v>
          </cell>
          <cell r="DF54">
            <v>898</v>
          </cell>
          <cell r="DG54">
            <v>702</v>
          </cell>
          <cell r="DH54">
            <v>1683</v>
          </cell>
          <cell r="DI54">
            <v>1606</v>
          </cell>
          <cell r="DJ54">
            <v>672</v>
          </cell>
        </row>
        <row r="55">
          <cell r="CW55">
            <v>8.4658373533066066E-3</v>
          </cell>
          <cell r="CX55">
            <v>9.2314446806544045E-3</v>
          </cell>
          <cell r="CY55">
            <v>1.1057322037627902E-2</v>
          </cell>
          <cell r="CZ55">
            <v>1.0130880270156807E-2</v>
          </cell>
          <cell r="DA55">
            <v>8.9938232407781558E-3</v>
          </cell>
          <cell r="DB55">
            <v>1.1251897314063222E-2</v>
          </cell>
          <cell r="DC55">
            <v>1.2377625393539484E-2</v>
          </cell>
          <cell r="DD55">
            <v>9.8777406263559561E-3</v>
          </cell>
          <cell r="DE55">
            <v>1.0809335335062099E-2</v>
          </cell>
          <cell r="DF55">
            <v>1.04922476544335E-2</v>
          </cell>
          <cell r="DG55">
            <v>1.1313821557503868E-2</v>
          </cell>
          <cell r="DH55">
            <v>8.4658373533066066E-3</v>
          </cell>
          <cell r="DI55">
            <v>8.4775287423063516E-3</v>
          </cell>
          <cell r="DJ55">
            <v>1.0654152265592796E-2</v>
          </cell>
        </row>
        <row r="56">
          <cell r="CW56">
            <v>79.632858976468171</v>
          </cell>
          <cell r="CX56">
            <v>194.02623969645282</v>
          </cell>
          <cell r="CY56">
            <v>-44.776861064594392</v>
          </cell>
          <cell r="CZ56">
            <v>-98.023923102270075</v>
          </cell>
          <cell r="DA56">
            <v>39.357922387166077</v>
          </cell>
          <cell r="DB56">
            <v>61.267245057531007</v>
          </cell>
          <cell r="DC56">
            <v>34.406527087967348</v>
          </cell>
          <cell r="DD56">
            <v>19.576022848892784</v>
          </cell>
          <cell r="DE56">
            <v>-49.402853608723127</v>
          </cell>
          <cell r="DF56">
            <v>-8.5525079811492812</v>
          </cell>
          <cell r="DG56">
            <v>16.895415616951009</v>
          </cell>
          <cell r="DH56">
            <v>-28.62368149746192</v>
          </cell>
          <cell r="DI56">
            <v>267.53734518240117</v>
          </cell>
          <cell r="DJ56">
            <v>-13.154135868233297</v>
          </cell>
        </row>
        <row r="57">
          <cell r="CW57">
            <v>33331.822179563496</v>
          </cell>
          <cell r="CX57">
            <v>29998.235271924128</v>
          </cell>
          <cell r="CY57">
            <v>29711.360986626732</v>
          </cell>
          <cell r="CZ57">
            <v>32184.885159895846</v>
          </cell>
          <cell r="DA57">
            <v>23315.612343717698</v>
          </cell>
          <cell r="DB57">
            <v>12001.150314706741</v>
          </cell>
          <cell r="DC57">
            <v>16162.569753577105</v>
          </cell>
          <cell r="DD57">
            <v>30691.687955997902</v>
          </cell>
          <cell r="DE57">
            <v>46161.744025596054</v>
          </cell>
          <cell r="DF57">
            <v>10420.519680106301</v>
          </cell>
          <cell r="DG57">
            <v>23208.991215082799</v>
          </cell>
          <cell r="DH57">
            <v>68945.148743830228</v>
          </cell>
          <cell r="DI57">
            <v>61655.338063784715</v>
          </cell>
          <cell r="DJ57">
            <v>9338.2688257469235</v>
          </cell>
        </row>
        <row r="58">
          <cell r="CW58">
            <v>1834.3492132372269</v>
          </cell>
          <cell r="CX58">
            <v>1339.5945459449269</v>
          </cell>
          <cell r="CY58">
            <v>933.6685758915288</v>
          </cell>
          <cell r="CZ58">
            <v>861.38046140688914</v>
          </cell>
          <cell r="DA58">
            <v>860.97975252572871</v>
          </cell>
          <cell r="DB58">
            <v>685.45808072419379</v>
          </cell>
          <cell r="DC58">
            <v>1703.1947745648968</v>
          </cell>
          <cell r="DD58">
            <v>1797.8977764687711</v>
          </cell>
          <cell r="DE58">
            <v>2131.4169666325888</v>
          </cell>
          <cell r="DF58">
            <v>536.6653330317904</v>
          </cell>
          <cell r="DG58">
            <v>1248.0565806854013</v>
          </cell>
          <cell r="DH58">
            <v>2483.1500756945261</v>
          </cell>
          <cell r="DI58">
            <v>2591.4881515830725</v>
          </cell>
          <cell r="DJ58">
            <v>328.18527913101713</v>
          </cell>
        </row>
        <row r="59">
          <cell r="CW59">
            <v>5.5032971295577965E-2</v>
          </cell>
          <cell r="CX59">
            <v>4.4655778375025844E-2</v>
          </cell>
          <cell r="CY59">
            <v>3.1424631685898832E-2</v>
          </cell>
          <cell r="CZ59">
            <v>2.6763508930590096E-2</v>
          </cell>
          <cell r="DA59">
            <v>3.692717737081936E-2</v>
          </cell>
          <cell r="DB59">
            <v>5.7116031609420234E-2</v>
          </cell>
          <cell r="DC59">
            <v>0.10537895894852643</v>
          </cell>
          <cell r="DD59">
            <v>5.8579305870904964E-2</v>
          </cell>
          <cell r="DE59">
            <v>4.6172799828592855E-2</v>
          </cell>
          <cell r="DF59">
            <v>5.1500822368421052E-2</v>
          </cell>
          <cell r="DG59">
            <v>5.3774701757581277E-2</v>
          </cell>
          <cell r="DH59">
            <v>3.6016313271305236E-2</v>
          </cell>
          <cell r="DI59">
            <v>4.2031853736688343E-2</v>
          </cell>
          <cell r="DJ59">
            <v>3.514412416851441E-2</v>
          </cell>
        </row>
        <row r="60">
          <cell r="CW60">
            <v>329380</v>
          </cell>
          <cell r="CX60">
            <v>125564</v>
          </cell>
          <cell r="CY60">
            <v>255985</v>
          </cell>
          <cell r="CZ60">
            <v>344122</v>
          </cell>
          <cell r="DA60">
            <v>169580</v>
          </cell>
          <cell r="DB60">
            <v>120659</v>
          </cell>
          <cell r="DC60">
            <v>129713</v>
          </cell>
          <cell r="DD60">
            <v>148998</v>
          </cell>
          <cell r="DE60">
            <v>210787</v>
          </cell>
          <cell r="DF60">
            <v>165824</v>
          </cell>
          <cell r="DG60">
            <v>126487</v>
          </cell>
          <cell r="DH60">
            <v>329380</v>
          </cell>
          <cell r="DI60">
            <v>312439</v>
          </cell>
          <cell r="DJ60">
            <v>118495</v>
          </cell>
        </row>
        <row r="61">
          <cell r="CW61">
            <v>11523</v>
          </cell>
          <cell r="CX61">
            <v>4294</v>
          </cell>
          <cell r="CY61">
            <v>8173</v>
          </cell>
          <cell r="CZ61">
            <v>12881</v>
          </cell>
          <cell r="DA61">
            <v>5905</v>
          </cell>
          <cell r="DB61">
            <v>5143</v>
          </cell>
          <cell r="DC61">
            <v>6454</v>
          </cell>
          <cell r="DD61">
            <v>6234</v>
          </cell>
          <cell r="DE61">
            <v>8474</v>
          </cell>
          <cell r="DF61">
            <v>6761</v>
          </cell>
          <cell r="DG61">
            <v>5029</v>
          </cell>
          <cell r="DH61">
            <v>11523</v>
          </cell>
          <cell r="DI61">
            <v>11025</v>
          </cell>
          <cell r="DJ61">
            <v>4969</v>
          </cell>
        </row>
        <row r="62">
          <cell r="CW62">
            <v>3.4983909162669261E-2</v>
          </cell>
          <cell r="CX62">
            <v>3.4197699977700613E-2</v>
          </cell>
          <cell r="CY62">
            <v>3.1927652010860008E-2</v>
          </cell>
          <cell r="CZ62">
            <v>3.7431492319584335E-2</v>
          </cell>
          <cell r="DA62">
            <v>3.4821323269253447E-2</v>
          </cell>
          <cell r="DB62">
            <v>4.2624255132232156E-2</v>
          </cell>
          <cell r="DC62">
            <v>4.9755999784138832E-2</v>
          </cell>
          <cell r="DD62">
            <v>4.1839487778359441E-2</v>
          </cell>
          <cell r="DE62">
            <v>4.0201720219937662E-2</v>
          </cell>
          <cell r="DF62">
            <v>4.0772143959861055E-2</v>
          </cell>
          <cell r="DG62">
            <v>3.9759026619336377E-2</v>
          </cell>
          <cell r="DH62">
            <v>3.4983909162669261E-2</v>
          </cell>
          <cell r="DI62">
            <v>3.5286888000537704E-2</v>
          </cell>
          <cell r="DJ62">
            <v>4.1934258829486475E-2</v>
          </cell>
        </row>
        <row r="63">
          <cell r="CW63">
            <v>668.27177388113307</v>
          </cell>
          <cell r="CX63">
            <v>313.72389625518946</v>
          </cell>
          <cell r="CY63">
            <v>-14.945418458531806</v>
          </cell>
          <cell r="CZ63">
            <v>-343.34782026245608</v>
          </cell>
          <cell r="DA63">
            <v>49.099277884538715</v>
          </cell>
          <cell r="DB63">
            <v>173.91798782986541</v>
          </cell>
          <cell r="DC63">
            <v>899.00995739478549</v>
          </cell>
          <cell r="DD63">
            <v>513.77327333657513</v>
          </cell>
          <cell r="DE63">
            <v>275.63544845119725</v>
          </cell>
          <cell r="DF63">
            <v>111.79840449793099</v>
          </cell>
          <cell r="DG63">
            <v>325.28968115698018</v>
          </cell>
          <cell r="DH63">
            <v>71.179254833648713</v>
          </cell>
          <cell r="DI63">
            <v>415.86314269101211</v>
          </cell>
          <cell r="DJ63">
            <v>-63.408102827179114</v>
          </cell>
        </row>
        <row r="64">
          <cell r="CW64">
            <v>3537.5974247166819</v>
          </cell>
          <cell r="CX64">
            <v>2745.5299269293118</v>
          </cell>
          <cell r="CY64">
            <v>2666.7509034855002</v>
          </cell>
          <cell r="CZ64">
            <v>3337.1562625761903</v>
          </cell>
          <cell r="DA64">
            <v>2136.3249474978511</v>
          </cell>
          <cell r="DB64">
            <v>1391.8903480387385</v>
          </cell>
          <cell r="DC64">
            <v>1552.423092209857</v>
          </cell>
          <cell r="DD64">
            <v>3205.3675638819536</v>
          </cell>
          <cell r="DE64">
            <v>4326.7259210183802</v>
          </cell>
          <cell r="DF64">
            <v>813.97741832555562</v>
          </cell>
          <cell r="DG64">
            <v>2111.0425887998581</v>
          </cell>
          <cell r="DH64">
            <v>7317.3371479349598</v>
          </cell>
          <cell r="DI64">
            <v>6612.1240066164419</v>
          </cell>
          <cell r="DJ64">
            <v>934.65435903083278</v>
          </cell>
        </row>
        <row r="65">
          <cell r="CW65">
            <v>1756.5895754309322</v>
          </cell>
          <cell r="CX65">
            <v>643.40315123015375</v>
          </cell>
          <cell r="CY65">
            <v>625.48084618863686</v>
          </cell>
          <cell r="CZ65">
            <v>445.24952457870177</v>
          </cell>
          <cell r="DA65">
            <v>571.22262448901256</v>
          </cell>
          <cell r="DB65">
            <v>288.39065468482477</v>
          </cell>
          <cell r="DC65">
            <v>551.17542559551646</v>
          </cell>
          <cell r="DD65">
            <v>891.71158672157253</v>
          </cell>
          <cell r="DE65">
            <v>1039.7612801928392</v>
          </cell>
          <cell r="DF65">
            <v>235.10945124501828</v>
          </cell>
          <cell r="DG65">
            <v>758.04777771654256</v>
          </cell>
          <cell r="DH65">
            <v>1768.6675886909118</v>
          </cell>
          <cell r="DI65">
            <v>1763.3108672780522</v>
          </cell>
          <cell r="DJ65">
            <v>199.90731131241077</v>
          </cell>
        </row>
        <row r="66">
          <cell r="CW66">
            <v>0.49654874892148404</v>
          </cell>
          <cell r="CX66">
            <v>0.23434570678665168</v>
          </cell>
          <cell r="CY66">
            <v>0.23454790823211877</v>
          </cell>
          <cell r="CZ66">
            <v>0.13342183869897112</v>
          </cell>
          <cell r="DA66">
            <v>0.26738564522127184</v>
          </cell>
          <cell r="DB66">
            <v>0.20719351570415401</v>
          </cell>
          <cell r="DC66">
            <v>0.3550420168067227</v>
          </cell>
          <cell r="DD66">
            <v>0.27819323960514508</v>
          </cell>
          <cell r="DE66">
            <v>0.24031133452245826</v>
          </cell>
          <cell r="DF66">
            <v>0.28884026258205692</v>
          </cell>
          <cell r="DG66">
            <v>0.35908691834942935</v>
          </cell>
          <cell r="DH66">
            <v>0.24170918367346939</v>
          </cell>
          <cell r="DI66">
            <v>0.26667843275679493</v>
          </cell>
          <cell r="DJ66">
            <v>0.21388367729831145</v>
          </cell>
        </row>
        <row r="67">
          <cell r="CW67">
            <v>34958</v>
          </cell>
          <cell r="CX67">
            <v>11492</v>
          </cell>
          <cell r="CY67">
            <v>22976</v>
          </cell>
          <cell r="CZ67">
            <v>35681</v>
          </cell>
          <cell r="DA67">
            <v>15538</v>
          </cell>
          <cell r="DB67">
            <v>13994</v>
          </cell>
          <cell r="DC67">
            <v>12459</v>
          </cell>
          <cell r="DD67">
            <v>15561</v>
          </cell>
          <cell r="DE67">
            <v>19757</v>
          </cell>
          <cell r="DF67">
            <v>12953</v>
          </cell>
          <cell r="DG67">
            <v>11505</v>
          </cell>
          <cell r="DH67">
            <v>34958</v>
          </cell>
          <cell r="DI67">
            <v>33507</v>
          </cell>
          <cell r="DJ67">
            <v>11860</v>
          </cell>
        </row>
        <row r="68">
          <cell r="CW68">
            <v>8663</v>
          </cell>
          <cell r="CX68">
            <v>2328</v>
          </cell>
          <cell r="CY68">
            <v>5555</v>
          </cell>
          <cell r="CZ68">
            <v>9283</v>
          </cell>
          <cell r="DA68">
            <v>4016</v>
          </cell>
          <cell r="DB68">
            <v>2770</v>
          </cell>
          <cell r="DC68">
            <v>3677</v>
          </cell>
          <cell r="DD68">
            <v>3253</v>
          </cell>
          <cell r="DE68">
            <v>5056</v>
          </cell>
          <cell r="DF68">
            <v>3631</v>
          </cell>
          <cell r="DG68">
            <v>3120</v>
          </cell>
          <cell r="DH68">
            <v>8663</v>
          </cell>
          <cell r="DI68">
            <v>8373</v>
          </cell>
          <cell r="DJ68">
            <v>3174</v>
          </cell>
        </row>
        <row r="69">
          <cell r="CW69">
            <v>0.24781165970593283</v>
          </cell>
          <cell r="CX69">
            <v>0.20257570483814827</v>
          </cell>
          <cell r="CY69">
            <v>0.24177402506963788</v>
          </cell>
          <cell r="CZ69">
            <v>0.26016647515484431</v>
          </cell>
          <cell r="DA69">
            <v>0.25846312266700994</v>
          </cell>
          <cell r="DB69">
            <v>0.19794197513219952</v>
          </cell>
          <cell r="DC69">
            <v>0.29512801990528936</v>
          </cell>
          <cell r="DD69">
            <v>0.20904826167984061</v>
          </cell>
          <cell r="DE69">
            <v>0.25590929797033962</v>
          </cell>
          <cell r="DF69">
            <v>0.28032116112097583</v>
          </cell>
          <cell r="DG69">
            <v>0.2711864406779661</v>
          </cell>
          <cell r="DH69">
            <v>0.24781165970593283</v>
          </cell>
          <cell r="DI69">
            <v>0.24988808308711613</v>
          </cell>
          <cell r="DJ69">
            <v>0.2676222596964587</v>
          </cell>
        </row>
        <row r="70">
          <cell r="CW70">
            <v>879.93168624045768</v>
          </cell>
          <cell r="CX70">
            <v>87.22549112821865</v>
          </cell>
          <cell r="CY70">
            <v>-19.270253605145854</v>
          </cell>
          <cell r="CZ70">
            <v>-422.96665729665972</v>
          </cell>
          <cell r="DA70">
            <v>19.061407527281954</v>
          </cell>
          <cell r="DB70">
            <v>12.877130026592255</v>
          </cell>
          <cell r="DC70">
            <v>93.01187233637495</v>
          </cell>
          <cell r="DD70">
            <v>221.63506944710463</v>
          </cell>
          <cell r="DE70">
            <v>-67.488112765045557</v>
          </cell>
          <cell r="DF70">
            <v>6.9343562137442625</v>
          </cell>
          <cell r="DG70">
            <v>185.5616519403099</v>
          </cell>
          <cell r="DH70">
            <v>-44.653874566727545</v>
          </cell>
          <cell r="DI70">
            <v>111.01987413036765</v>
          </cell>
          <cell r="DJ70">
            <v>-50.227000286565918</v>
          </cell>
        </row>
        <row r="71">
          <cell r="CW71">
            <v>5902.7420843218733</v>
          </cell>
          <cell r="CX71">
            <v>6718.0909802690776</v>
          </cell>
          <cell r="CY71">
            <v>4950.2492180386744</v>
          </cell>
          <cell r="CZ71">
            <v>5796.9306440608407</v>
          </cell>
          <cell r="DA71">
            <v>5188.7480495315613</v>
          </cell>
          <cell r="DB71">
            <v>2486.9820110304859</v>
          </cell>
          <cell r="DC71">
            <v>3666.4298489666139</v>
          </cell>
          <cell r="DD71">
            <v>6738.2548518544099</v>
          </cell>
          <cell r="DE71">
            <v>10909.560079032828</v>
          </cell>
          <cell r="DF71">
            <v>1984.3252480866261</v>
          </cell>
          <cell r="DG71">
            <v>4465.9422484832457</v>
          </cell>
          <cell r="DH71">
            <v>12209.516443705195</v>
          </cell>
          <cell r="DI71">
            <v>11142.160079553052</v>
          </cell>
          <cell r="DJ71">
            <v>1994.8487175503767</v>
          </cell>
        </row>
        <row r="72">
          <cell r="CW72">
            <v>465.81441849149184</v>
          </cell>
          <cell r="CX72">
            <v>124.1858167565892</v>
          </cell>
          <cell r="CY72">
            <v>162.19545810708962</v>
          </cell>
          <cell r="CZ72">
            <v>90.408870052192839</v>
          </cell>
          <cell r="DA72">
            <v>14.132353790888393</v>
          </cell>
          <cell r="DB72">
            <v>50.34761137685858</v>
          </cell>
          <cell r="DC72">
            <v>237.16839947110768</v>
          </cell>
          <cell r="DD72">
            <v>272.30201385680482</v>
          </cell>
          <cell r="DE72">
            <v>329.11723521340463</v>
          </cell>
          <cell r="DF72">
            <v>59.132310763695251</v>
          </cell>
          <cell r="DG72">
            <v>158.05314888249112</v>
          </cell>
          <cell r="DH72">
            <v>206.48598754786394</v>
          </cell>
          <cell r="DI72">
            <v>343.75755694064043</v>
          </cell>
          <cell r="DJ72">
            <v>33.458478036883022</v>
          </cell>
        </row>
        <row r="73">
          <cell r="CW73">
            <v>7.8914919852034526E-2</v>
          </cell>
          <cell r="CX73">
            <v>1.8485283560660447E-2</v>
          </cell>
          <cell r="CY73">
            <v>3.2765109586008416E-2</v>
          </cell>
          <cell r="CZ73">
            <v>1.5595989602673598E-2</v>
          </cell>
          <cell r="DA73">
            <v>2.7236538864445843E-3</v>
          </cell>
          <cell r="DB73">
            <v>2.024446142093201E-2</v>
          </cell>
          <cell r="DC73">
            <v>6.4686468646864684E-2</v>
          </cell>
          <cell r="DD73">
            <v>4.0411355735805329E-2</v>
          </cell>
          <cell r="DE73">
            <v>3.0167782461360444E-2</v>
          </cell>
          <cell r="DF73">
            <v>2.9799706888128968E-2</v>
          </cell>
          <cell r="DG73">
            <v>3.5390773119865181E-2</v>
          </cell>
          <cell r="DH73">
            <v>1.6911889058007779E-2</v>
          </cell>
          <cell r="DI73">
            <v>3.0851967166713842E-2</v>
          </cell>
          <cell r="DJ73">
            <v>1.6772438803263828E-2</v>
          </cell>
        </row>
        <row r="74">
          <cell r="CW74">
            <v>58330</v>
          </cell>
          <cell r="CX74">
            <v>28120</v>
          </cell>
          <cell r="CY74">
            <v>42650</v>
          </cell>
          <cell r="CZ74">
            <v>61981</v>
          </cell>
          <cell r="DA74">
            <v>37739</v>
          </cell>
          <cell r="DB74">
            <v>25004</v>
          </cell>
          <cell r="DC74">
            <v>29425</v>
          </cell>
          <cell r="DD74">
            <v>32712</v>
          </cell>
          <cell r="DE74">
            <v>49816</v>
          </cell>
          <cell r="DF74">
            <v>31577</v>
          </cell>
          <cell r="DG74">
            <v>24339</v>
          </cell>
          <cell r="DH74">
            <v>58330</v>
          </cell>
          <cell r="DI74">
            <v>56463</v>
          </cell>
          <cell r="DJ74">
            <v>25313</v>
          </cell>
        </row>
        <row r="75">
          <cell r="CW75">
            <v>1608</v>
          </cell>
          <cell r="CX75">
            <v>468</v>
          </cell>
          <cell r="CY75">
            <v>1097</v>
          </cell>
          <cell r="CZ75">
            <v>1753</v>
          </cell>
          <cell r="DA75">
            <v>711</v>
          </cell>
          <cell r="DB75">
            <v>685</v>
          </cell>
          <cell r="DC75">
            <v>905</v>
          </cell>
          <cell r="DD75">
            <v>873</v>
          </cell>
          <cell r="DE75">
            <v>1270</v>
          </cell>
          <cell r="DF75">
            <v>889</v>
          </cell>
          <cell r="DG75">
            <v>576</v>
          </cell>
          <cell r="DH75">
            <v>1608</v>
          </cell>
          <cell r="DI75">
            <v>1537</v>
          </cell>
          <cell r="DJ75">
            <v>665</v>
          </cell>
        </row>
        <row r="76">
          <cell r="CW76">
            <v>2.7567289559403393E-2</v>
          </cell>
          <cell r="CX76">
            <v>1.6642958748221907E-2</v>
          </cell>
          <cell r="CY76">
            <v>2.5720984759671748E-2</v>
          </cell>
          <cell r="CZ76">
            <v>2.8282860876720287E-2</v>
          </cell>
          <cell r="DA76">
            <v>1.8839926866106679E-2</v>
          </cell>
          <cell r="DB76">
            <v>2.7395616701327789E-2</v>
          </cell>
          <cell r="DC76">
            <v>3.0756159728122345E-2</v>
          </cell>
          <cell r="DD76">
            <v>2.668745414526779E-2</v>
          </cell>
          <cell r="DE76">
            <v>2.5493817247470692E-2</v>
          </cell>
          <cell r="DF76">
            <v>2.8153402793172244E-2</v>
          </cell>
          <cell r="DG76">
            <v>2.3665721681252312E-2</v>
          </cell>
          <cell r="DH76">
            <v>2.7567289559403393E-2</v>
          </cell>
          <cell r="DI76">
            <v>2.7221366204417053E-2</v>
          </cell>
          <cell r="DJ76">
            <v>2.6271086003239442E-2</v>
          </cell>
        </row>
        <row r="77">
          <cell r="CW77">
            <v>303.09181825851442</v>
          </cell>
          <cell r="CX77">
            <v>12.376905705169271</v>
          </cell>
          <cell r="CY77">
            <v>34.870173413339899</v>
          </cell>
          <cell r="CZ77">
            <v>-73.544912865776453</v>
          </cell>
          <cell r="DA77">
            <v>-83.623279988939899</v>
          </cell>
          <cell r="DB77">
            <v>-17.784794540429974</v>
          </cell>
          <cell r="DC77">
            <v>124.40309740433503</v>
          </cell>
          <cell r="DD77">
            <v>92.475146478812036</v>
          </cell>
          <cell r="DE77">
            <v>50.990904308239791</v>
          </cell>
          <cell r="DF77">
            <v>3.2668027816510299</v>
          </cell>
          <cell r="DG77">
            <v>52.363402585340467</v>
          </cell>
          <cell r="DH77">
            <v>-130.09728763605438</v>
          </cell>
          <cell r="DI77">
            <v>40.45273710689019</v>
          </cell>
          <cell r="DJ77">
            <v>-18.948364185334835</v>
          </cell>
        </row>
        <row r="78">
          <cell r="CW78">
            <v>1766.1676255386535</v>
          </cell>
          <cell r="CX78">
            <v>1511.5704705605426</v>
          </cell>
          <cell r="CY78">
            <v>1288.921865564349</v>
          </cell>
          <cell r="CZ78">
            <v>1735.4970883205008</v>
          </cell>
          <cell r="DA78">
            <v>1288.9719643964702</v>
          </cell>
          <cell r="DB78">
            <v>583.84996019632661</v>
          </cell>
          <cell r="DC78">
            <v>841.81478537360886</v>
          </cell>
          <cell r="DD78">
            <v>1516.6841059612382</v>
          </cell>
          <cell r="DE78">
            <v>2054.630894923037</v>
          </cell>
          <cell r="DF78">
            <v>476.14505509555579</v>
          </cell>
          <cell r="DG78">
            <v>1183.3214824137578</v>
          </cell>
          <cell r="DH78">
            <v>3653.2263070801778</v>
          </cell>
          <cell r="DI78">
            <v>3321.3555124410223</v>
          </cell>
          <cell r="DJ78">
            <v>492.4667023257735</v>
          </cell>
        </row>
        <row r="79">
          <cell r="CW79">
            <v>348.71496499789879</v>
          </cell>
          <cell r="CX79">
            <v>212.93020560527765</v>
          </cell>
          <cell r="CY79">
            <v>117.17471505130446</v>
          </cell>
          <cell r="CZ79">
            <v>133.90772033641755</v>
          </cell>
          <cell r="DA79">
            <v>87.216763972695645</v>
          </cell>
          <cell r="DB79">
            <v>70.615269500054467</v>
          </cell>
          <cell r="DC79">
            <v>176.6107696683716</v>
          </cell>
          <cell r="DD79">
            <v>238.71363106753606</v>
          </cell>
          <cell r="DE79">
            <v>242.66149890533745</v>
          </cell>
          <cell r="DF79">
            <v>126.89144869297807</v>
          </cell>
          <cell r="DG79">
            <v>144.44682923257596</v>
          </cell>
          <cell r="DH79">
            <v>289.54363300697383</v>
          </cell>
          <cell r="DI79">
            <v>505.70483074939244</v>
          </cell>
          <cell r="DJ79">
            <v>21.70192247537307</v>
          </cell>
        </row>
        <row r="80">
          <cell r="CW80">
            <v>0.19744160177975528</v>
          </cell>
          <cell r="CX80">
            <v>0.14086687306501547</v>
          </cell>
          <cell r="CY80">
            <v>9.0909090909090912E-2</v>
          </cell>
          <cell r="CZ80">
            <v>7.7158135981665391E-2</v>
          </cell>
          <cell r="DA80">
            <v>6.7663817663817669E-2</v>
          </cell>
          <cell r="DB80">
            <v>0.12094763092269327</v>
          </cell>
          <cell r="DC80">
            <v>0.20979765708200213</v>
          </cell>
          <cell r="DD80">
            <v>0.15739179314221471</v>
          </cell>
          <cell r="DE80">
            <v>0.1181046676096181</v>
          </cell>
          <cell r="DF80">
            <v>0.26649746192893403</v>
          </cell>
          <cell r="DG80">
            <v>0.12206896551724138</v>
          </cell>
          <cell r="DH80">
            <v>7.9256965944272451E-2</v>
          </cell>
          <cell r="DI80">
            <v>0.15225856697819315</v>
          </cell>
          <cell r="DJ80">
            <v>4.4067796610169491E-2</v>
          </cell>
        </row>
        <row r="81">
          <cell r="CW81">
            <v>17453</v>
          </cell>
          <cell r="CX81">
            <v>6327</v>
          </cell>
          <cell r="CY81">
            <v>11105</v>
          </cell>
          <cell r="CZ81">
            <v>18556</v>
          </cell>
          <cell r="DA81">
            <v>9375</v>
          </cell>
          <cell r="DB81">
            <v>5870</v>
          </cell>
          <cell r="DC81">
            <v>6756</v>
          </cell>
          <cell r="DD81">
            <v>7363</v>
          </cell>
          <cell r="DE81">
            <v>9382</v>
          </cell>
          <cell r="DF81">
            <v>7577</v>
          </cell>
          <cell r="DG81">
            <v>6449</v>
          </cell>
          <cell r="DH81">
            <v>17453</v>
          </cell>
          <cell r="DI81">
            <v>16831</v>
          </cell>
          <cell r="DJ81">
            <v>6249</v>
          </cell>
        </row>
        <row r="82">
          <cell r="CW82">
            <v>1728</v>
          </cell>
          <cell r="CX82">
            <v>519</v>
          </cell>
          <cell r="CY82">
            <v>1009</v>
          </cell>
          <cell r="CZ82">
            <v>1938</v>
          </cell>
          <cell r="DA82">
            <v>977</v>
          </cell>
          <cell r="DB82">
            <v>641</v>
          </cell>
          <cell r="DC82">
            <v>872</v>
          </cell>
          <cell r="DD82">
            <v>759</v>
          </cell>
          <cell r="DE82">
            <v>1178</v>
          </cell>
          <cell r="DF82">
            <v>1011</v>
          </cell>
          <cell r="DG82">
            <v>755</v>
          </cell>
          <cell r="DH82">
            <v>1728</v>
          </cell>
          <cell r="DI82">
            <v>1667</v>
          </cell>
          <cell r="DJ82">
            <v>774</v>
          </cell>
        </row>
        <row r="83">
          <cell r="CW83">
            <v>9.9008766401191772E-2</v>
          </cell>
          <cell r="CX83">
            <v>8.2029397818871502E-2</v>
          </cell>
          <cell r="CY83">
            <v>9.0859972985141826E-2</v>
          </cell>
          <cell r="CZ83">
            <v>0.10444061220090536</v>
          </cell>
          <cell r="DA83">
            <v>0.10421333333333334</v>
          </cell>
          <cell r="DB83">
            <v>0.10919931856899488</v>
          </cell>
          <cell r="DC83">
            <v>0.12907045589105981</v>
          </cell>
          <cell r="DD83">
            <v>0.1030829824799674</v>
          </cell>
          <cell r="DE83">
            <v>0.12555958217863994</v>
          </cell>
          <cell r="DF83">
            <v>0.13343011746073644</v>
          </cell>
          <cell r="DG83">
            <v>0.11707241432780276</v>
          </cell>
          <cell r="DH83">
            <v>9.9008766401191772E-2</v>
          </cell>
          <cell r="DI83">
            <v>9.9043431762818615E-2</v>
          </cell>
          <cell r="DJ83">
            <v>0.12385981757081133</v>
          </cell>
        </row>
        <row r="84">
          <cell r="CW84">
            <v>173.84888713559468</v>
          </cell>
          <cell r="CX84">
            <v>88.936990144408114</v>
          </cell>
          <cell r="CY84">
            <v>6.3309166169104356E-2</v>
          </cell>
          <cell r="CZ84">
            <v>-47.34865804066429</v>
          </cell>
          <cell r="DA84">
            <v>-47.111301010275177</v>
          </cell>
          <cell r="DB84">
            <v>6.8592517000808186</v>
          </cell>
          <cell r="DC84">
            <v>67.957351544365238</v>
          </cell>
          <cell r="DD84">
            <v>82.369309945088716</v>
          </cell>
          <cell r="DE84">
            <v>-15.3170977925241</v>
          </cell>
          <cell r="DF84">
            <v>63.359358063229244</v>
          </cell>
          <cell r="DG84">
            <v>5.9125263604427278</v>
          </cell>
          <cell r="DH84">
            <v>-72.157797041415918</v>
          </cell>
          <cell r="DI84">
            <v>176.7463826928786</v>
          </cell>
          <cell r="DJ84">
            <v>-39.294913434396285</v>
          </cell>
        </row>
        <row r="85">
          <cell r="CW85">
            <v>2431.023025744289</v>
          </cell>
          <cell r="CX85">
            <v>1846.5193878556081</v>
          </cell>
          <cell r="CY85">
            <v>1043.4405737436737</v>
          </cell>
          <cell r="CZ85">
            <v>2281.7914671133462</v>
          </cell>
          <cell r="DA85">
            <v>859.45213327384909</v>
          </cell>
          <cell r="DB85">
            <v>306.64555831094975</v>
          </cell>
          <cell r="DC85">
            <v>546.75596184419715</v>
          </cell>
          <cell r="DD85">
            <v>1268.4694722951656</v>
          </cell>
          <cell r="DE85">
            <v>1811.9820959916019</v>
          </cell>
          <cell r="DF85">
            <v>364.66540249696584</v>
          </cell>
          <cell r="DG85">
            <v>575.05497377651068</v>
          </cell>
          <cell r="DH85">
            <v>5028.4452859099938</v>
          </cell>
          <cell r="DI85">
            <v>4563.3857896262043</v>
          </cell>
          <cell r="DJ85">
            <v>258.64549800499094</v>
          </cell>
        </row>
        <row r="86">
          <cell r="CW86">
            <v>4.1343929009256613</v>
          </cell>
          <cell r="CX86">
            <v>199.02604180479608</v>
          </cell>
          <cell r="CY86">
            <v>5.7648650483075894</v>
          </cell>
          <cell r="CZ86">
            <v>8.0699963469968026</v>
          </cell>
          <cell r="DA86">
            <v>11.061160016394453</v>
          </cell>
          <cell r="DB86">
            <v>4.7176239740146118</v>
          </cell>
          <cell r="DC86">
            <v>40.237451737451742</v>
          </cell>
          <cell r="DD86">
            <v>5.1647779816578403</v>
          </cell>
          <cell r="DE86">
            <v>11.048671317021963</v>
          </cell>
          <cell r="DF86">
            <v>12.396557591964845</v>
          </cell>
          <cell r="DG86">
            <v>12.995592627717755</v>
          </cell>
          <cell r="DH86">
            <v>6.2114428012363767</v>
          </cell>
          <cell r="DI86">
            <v>62.341335923855247</v>
          </cell>
          <cell r="DJ86">
            <v>0</v>
          </cell>
        </row>
        <row r="87">
          <cell r="CW87">
            <v>1.7006802721088435E-3</v>
          </cell>
          <cell r="CX87">
            <v>0.10778443113772455</v>
          </cell>
          <cell r="CY87">
            <v>5.5248618784530384E-3</v>
          </cell>
          <cell r="CZ87">
            <v>3.5366931918656055E-3</v>
          </cell>
          <cell r="DA87">
            <v>1.2870012870012869E-2</v>
          </cell>
          <cell r="DB87">
            <v>1.5384615384615385E-2</v>
          </cell>
          <cell r="DC87">
            <v>7.3593073593073599E-2</v>
          </cell>
          <cell r="DD87">
            <v>4.0716612377850164E-3</v>
          </cell>
          <cell r="DE87">
            <v>6.0975609756097563E-3</v>
          </cell>
          <cell r="DF87">
            <v>3.39943342776204E-2</v>
          </cell>
          <cell r="DG87">
            <v>2.2598870056497175E-2</v>
          </cell>
          <cell r="DH87">
            <v>1.2352610892756878E-3</v>
          </cell>
          <cell r="DI87">
            <v>1.3661202185792349E-2</v>
          </cell>
          <cell r="DJ87">
            <v>0</v>
          </cell>
        </row>
        <row r="88">
          <cell r="CW88">
            <v>24023</v>
          </cell>
          <cell r="CX88">
            <v>7729</v>
          </cell>
          <cell r="CY88">
            <v>8990</v>
          </cell>
          <cell r="CZ88">
            <v>24397</v>
          </cell>
          <cell r="DA88">
            <v>6251</v>
          </cell>
          <cell r="DB88">
            <v>3083</v>
          </cell>
          <cell r="DC88">
            <v>4388</v>
          </cell>
          <cell r="DD88">
            <v>6158</v>
          </cell>
          <cell r="DE88">
            <v>8274</v>
          </cell>
          <cell r="DF88">
            <v>5803</v>
          </cell>
          <cell r="DG88">
            <v>3134</v>
          </cell>
          <cell r="DH88">
            <v>24023</v>
          </cell>
          <cell r="DI88">
            <v>23125</v>
          </cell>
          <cell r="DJ88">
            <v>3282</v>
          </cell>
        </row>
        <row r="89">
          <cell r="CW89">
            <v>71</v>
          </cell>
          <cell r="CX89">
            <v>236</v>
          </cell>
          <cell r="CY89">
            <v>51</v>
          </cell>
          <cell r="CZ89">
            <v>290</v>
          </cell>
          <cell r="DA89">
            <v>41</v>
          </cell>
          <cell r="DB89">
            <v>32</v>
          </cell>
          <cell r="DC89">
            <v>77</v>
          </cell>
          <cell r="DD89">
            <v>23</v>
          </cell>
          <cell r="DE89">
            <v>71</v>
          </cell>
          <cell r="DF89">
            <v>49</v>
          </cell>
          <cell r="DG89">
            <v>44</v>
          </cell>
          <cell r="DH89">
            <v>71</v>
          </cell>
          <cell r="DI89">
            <v>69</v>
          </cell>
          <cell r="DJ89">
            <v>40</v>
          </cell>
        </row>
        <row r="90">
          <cell r="CW90">
            <v>2.9555009782291971E-3</v>
          </cell>
          <cell r="CX90">
            <v>3.0534351145038167E-2</v>
          </cell>
          <cell r="CY90">
            <v>5.6729699666295888E-3</v>
          </cell>
          <cell r="CZ90">
            <v>1.188670738205517E-2</v>
          </cell>
          <cell r="DA90">
            <v>6.5589505679091347E-3</v>
          </cell>
          <cell r="DB90">
            <v>1.0379500486539085E-2</v>
          </cell>
          <cell r="DC90">
            <v>1.7547857793983591E-2</v>
          </cell>
          <cell r="DD90">
            <v>3.7349788892497562E-3</v>
          </cell>
          <cell r="DE90">
            <v>8.5810974135847231E-3</v>
          </cell>
          <cell r="DF90">
            <v>8.4439083232810616E-3</v>
          </cell>
          <cell r="DG90">
            <v>1.4039566049776643E-2</v>
          </cell>
          <cell r="DH90">
            <v>2.9555009782291971E-3</v>
          </cell>
          <cell r="DI90">
            <v>2.9837837837837838E-3</v>
          </cell>
          <cell r="DJ90">
            <v>1.2187690432663011E-2</v>
          </cell>
        </row>
        <row r="91">
          <cell r="CW91">
            <v>-3.0504980297592876</v>
          </cell>
          <cell r="CX91">
            <v>142.64377041989201</v>
          </cell>
          <cell r="CY91">
            <v>-0.15454198850301851</v>
          </cell>
          <cell r="CZ91">
            <v>-19.052991129449907</v>
          </cell>
          <cell r="DA91">
            <v>5.424055958767223</v>
          </cell>
          <cell r="DB91">
            <v>1.5347962523310597</v>
          </cell>
          <cell r="DC91">
            <v>30.643055870997053</v>
          </cell>
          <cell r="DD91">
            <v>0.42707128097761843</v>
          </cell>
          <cell r="DE91">
            <v>-4.5001235603533978</v>
          </cell>
          <cell r="DF91">
            <v>9.3173563646080773</v>
          </cell>
          <cell r="DG91">
            <v>4.9220703411298583</v>
          </cell>
          <cell r="DH91">
            <v>-8.650132160242606</v>
          </cell>
          <cell r="DI91">
            <v>48.725179405619222</v>
          </cell>
          <cell r="DJ91" t="e">
            <v>#DIV/0!</v>
          </cell>
        </row>
        <row r="92">
          <cell r="CW92">
            <v>1458.8364458697777</v>
          </cell>
          <cell r="CX92">
            <v>1572.9698084669847</v>
          </cell>
          <cell r="CY92">
            <v>1219.2817827783419</v>
          </cell>
          <cell r="CZ92">
            <v>1415.4458360984295</v>
          </cell>
          <cell r="DA92">
            <v>1276.322852852526</v>
          </cell>
          <cell r="DB92">
            <v>586.3365443538919</v>
          </cell>
          <cell r="DC92">
            <v>780.01192368839429</v>
          </cell>
          <cell r="DD92">
            <v>1617.823844658368</v>
          </cell>
          <cell r="DE92">
            <v>2339.1081420457213</v>
          </cell>
          <cell r="DF92">
            <v>474.25982985431693</v>
          </cell>
          <cell r="DG92">
            <v>1122.4030869785947</v>
          </cell>
          <cell r="DH92">
            <v>3017.5276710518447</v>
          </cell>
          <cell r="DI92">
            <v>2685.9348749233413</v>
          </cell>
          <cell r="DJ92">
            <v>434.07050670673073</v>
          </cell>
        </row>
        <row r="93">
          <cell r="CW93">
            <v>52.658534810807481</v>
          </cell>
          <cell r="CX93">
            <v>177.4757280032301</v>
          </cell>
          <cell r="CY93">
            <v>21.119199470756499</v>
          </cell>
          <cell r="CZ93">
            <v>40.968041565801144</v>
          </cell>
          <cell r="DA93">
            <v>29.906279998812025</v>
          </cell>
          <cell r="DB93">
            <v>39.719572359457196</v>
          </cell>
          <cell r="DC93">
            <v>56.122809143433244</v>
          </cell>
          <cell r="DD93">
            <v>44.016306711971147</v>
          </cell>
          <cell r="DE93">
            <v>53.567362031581403</v>
          </cell>
          <cell r="DF93">
            <v>25.075807095745493</v>
          </cell>
          <cell r="DG93">
            <v>45.329712028986265</v>
          </cell>
          <cell r="DH93">
            <v>100.00451935762597</v>
          </cell>
          <cell r="DI93">
            <v>78.83007501901767</v>
          </cell>
          <cell r="DJ93">
            <v>12.402014477335163</v>
          </cell>
        </row>
        <row r="94">
          <cell r="CW94">
            <v>3.6096256684491977E-2</v>
          </cell>
          <cell r="CX94">
            <v>0.11282843894899536</v>
          </cell>
          <cell r="CY94">
            <v>1.7321016166281754E-2</v>
          </cell>
          <cell r="CZ94">
            <v>2.8943560057887119E-2</v>
          </cell>
          <cell r="DA94">
            <v>2.3431594860166289E-2</v>
          </cell>
          <cell r="DB94">
            <v>6.7741935483870974E-2</v>
          </cell>
          <cell r="DC94">
            <v>7.1951219512195116E-2</v>
          </cell>
          <cell r="DD94">
            <v>2.7207107162687396E-2</v>
          </cell>
          <cell r="DE94">
            <v>2.2900763358778626E-2</v>
          </cell>
          <cell r="DF94">
            <v>5.2873563218390804E-2</v>
          </cell>
          <cell r="DG94">
            <v>4.0386303775241439E-2</v>
          </cell>
          <cell r="DH94">
            <v>3.3141210374639768E-2</v>
          </cell>
          <cell r="DI94">
            <v>2.9349213100808166E-2</v>
          </cell>
          <cell r="DJ94">
            <v>2.8571428571428571E-2</v>
          </cell>
        </row>
        <row r="95">
          <cell r="CW95">
            <v>14416</v>
          </cell>
          <cell r="CX95">
            <v>6584</v>
          </cell>
          <cell r="CY95">
            <v>10505</v>
          </cell>
          <cell r="CZ95">
            <v>15134</v>
          </cell>
          <cell r="DA95">
            <v>9283</v>
          </cell>
          <cell r="DB95">
            <v>5895</v>
          </cell>
          <cell r="DC95">
            <v>6260</v>
          </cell>
          <cell r="DD95">
            <v>7854</v>
          </cell>
          <cell r="DE95">
            <v>10681</v>
          </cell>
          <cell r="DF95">
            <v>7547</v>
          </cell>
          <cell r="DG95">
            <v>6117</v>
          </cell>
          <cell r="DH95">
            <v>14416</v>
          </cell>
          <cell r="DI95">
            <v>13611</v>
          </cell>
          <cell r="DJ95">
            <v>5508</v>
          </cell>
        </row>
        <row r="96">
          <cell r="CW96">
            <v>352</v>
          </cell>
          <cell r="CX96">
            <v>307</v>
          </cell>
          <cell r="CY96">
            <v>289</v>
          </cell>
          <cell r="CZ96">
            <v>502</v>
          </cell>
          <cell r="DA96">
            <v>182</v>
          </cell>
          <cell r="DB96">
            <v>205</v>
          </cell>
          <cell r="DC96">
            <v>225</v>
          </cell>
          <cell r="DD96">
            <v>200</v>
          </cell>
          <cell r="DE96">
            <v>254</v>
          </cell>
          <cell r="DF96">
            <v>223</v>
          </cell>
          <cell r="DG96">
            <v>244</v>
          </cell>
          <cell r="DH96">
            <v>352</v>
          </cell>
          <cell r="DI96">
            <v>333</v>
          </cell>
          <cell r="DJ96">
            <v>201</v>
          </cell>
        </row>
        <row r="97">
          <cell r="CW97">
            <v>2.4417314095449501E-2</v>
          </cell>
          <cell r="CX97">
            <v>4.6628189550425275E-2</v>
          </cell>
          <cell r="CY97">
            <v>2.7510709186101857E-2</v>
          </cell>
          <cell r="CZ97">
            <v>3.3170344918726044E-2</v>
          </cell>
          <cell r="DA97">
            <v>1.9605730905957127E-2</v>
          </cell>
          <cell r="DB97">
            <v>3.477523324851569E-2</v>
          </cell>
          <cell r="DC97">
            <v>3.5942492012779555E-2</v>
          </cell>
          <cell r="DD97">
            <v>2.5464731347084289E-2</v>
          </cell>
          <cell r="DE97">
            <v>2.37805448928003E-2</v>
          </cell>
          <cell r="DF97">
            <v>2.954816483370876E-2</v>
          </cell>
          <cell r="DG97">
            <v>3.9888834395945726E-2</v>
          </cell>
          <cell r="DH97">
            <v>2.4417314095449501E-2</v>
          </cell>
          <cell r="DI97">
            <v>2.4465505840864005E-2</v>
          </cell>
          <cell r="DJ97">
            <v>3.6492374727668843E-2</v>
          </cell>
        </row>
        <row r="98">
          <cell r="CW98">
            <v>17.037667098115904</v>
          </cell>
          <cell r="CX98">
            <v>104.13099361693541</v>
          </cell>
          <cell r="CY98">
            <v>-12.424107071170283</v>
          </cell>
          <cell r="CZ98">
            <v>-5.9827850313583362</v>
          </cell>
          <cell r="DA98">
            <v>4.8830375966618833</v>
          </cell>
          <cell r="DB98">
            <v>19.329582267421941</v>
          </cell>
          <cell r="DC98">
            <v>28.087236806390319</v>
          </cell>
          <cell r="DD98">
            <v>2.8188571408387793</v>
          </cell>
          <cell r="DE98">
            <v>-2.0579041494515704</v>
          </cell>
          <cell r="DF98">
            <v>11.062299469203465</v>
          </cell>
          <cell r="DG98">
            <v>0.55836116699883553</v>
          </cell>
          <cell r="DH98">
            <v>26.324598421842857</v>
          </cell>
          <cell r="DI98">
            <v>13.117319648400333</v>
          </cell>
          <cell r="DJ98">
            <v>-3.4382491116359462</v>
          </cell>
        </row>
        <row r="99">
          <cell r="CW99">
            <v>6863.5947517423465</v>
          </cell>
          <cell r="CX99">
            <v>7198.0570108295533</v>
          </cell>
          <cell r="CY99">
            <v>6119.8544084296645</v>
          </cell>
          <cell r="CZ99">
            <v>6893.9151961685766</v>
          </cell>
          <cell r="DA99">
            <v>5351.6741058312755</v>
          </cell>
          <cell r="DB99">
            <v>2829.6333079429805</v>
          </cell>
          <cell r="DC99">
            <v>4019.6780604133546</v>
          </cell>
          <cell r="DD99">
            <v>7815.9801326352326</v>
          </cell>
          <cell r="DE99">
            <v>11898.332034967332</v>
          </cell>
          <cell r="DF99">
            <v>2488.2459550697672</v>
          </cell>
          <cell r="DG99">
            <v>5227.0552131370323</v>
          </cell>
          <cell r="DH99">
            <v>14196.990447356504</v>
          </cell>
          <cell r="DI99">
            <v>12527.061332378857</v>
          </cell>
          <cell r="DJ99">
            <v>2241.5943160432553</v>
          </cell>
        </row>
        <row r="100">
          <cell r="CW100">
            <v>1930.4104669287876</v>
          </cell>
          <cell r="CX100">
            <v>1285.2663650702332</v>
          </cell>
          <cell r="CY100">
            <v>927.36330088260024</v>
          </cell>
          <cell r="CZ100">
            <v>806.43432199149936</v>
          </cell>
          <cell r="DA100">
            <v>862.35506918608235</v>
          </cell>
          <cell r="DB100">
            <v>641.02687333302117</v>
          </cell>
          <cell r="DC100">
            <v>907.81243882333627</v>
          </cell>
          <cell r="DD100">
            <v>1450.4713712153264</v>
          </cell>
          <cell r="DE100">
            <v>2499.3376184307813</v>
          </cell>
          <cell r="DF100">
            <v>273.73300131372309</v>
          </cell>
          <cell r="DG100">
            <v>1369.3155954345054</v>
          </cell>
          <cell r="DH100">
            <v>1992.3285850844165</v>
          </cell>
          <cell r="DI100">
            <v>2391.2493922644367</v>
          </cell>
          <cell r="DJ100">
            <v>548.4556584745178</v>
          </cell>
        </row>
        <row r="101">
          <cell r="CW101">
            <v>0.28125356125356127</v>
          </cell>
          <cell r="CX101">
            <v>0.1785574028014138</v>
          </cell>
          <cell r="CY101">
            <v>0.15153355602793805</v>
          </cell>
          <cell r="CZ101">
            <v>0.11697769685935366</v>
          </cell>
          <cell r="DA101">
            <v>0.16113744075829384</v>
          </cell>
          <cell r="DB101">
            <v>0.2265406162464986</v>
          </cell>
          <cell r="DC101">
            <v>0.22584207620099392</v>
          </cell>
          <cell r="DD101">
            <v>0.18557766864822953</v>
          </cell>
          <cell r="DE101">
            <v>0.21005781407726898</v>
          </cell>
          <cell r="DF101">
            <v>0.11001042752867571</v>
          </cell>
          <cell r="DG101">
            <v>0.26196692776327241</v>
          </cell>
          <cell r="DH101">
            <v>0.14033457249070633</v>
          </cell>
          <cell r="DI101">
            <v>0.19088669950738915</v>
          </cell>
          <cell r="DJ101">
            <v>0.24467213114754099</v>
          </cell>
        </row>
        <row r="102">
          <cell r="CW102">
            <v>67825</v>
          </cell>
          <cell r="CX102">
            <v>30129</v>
          </cell>
          <cell r="CY102">
            <v>52727</v>
          </cell>
          <cell r="CZ102">
            <v>73710</v>
          </cell>
          <cell r="DA102">
            <v>38924</v>
          </cell>
          <cell r="DB102">
            <v>28449</v>
          </cell>
          <cell r="DC102">
            <v>32260</v>
          </cell>
          <cell r="DD102">
            <v>37944</v>
          </cell>
          <cell r="DE102">
            <v>54331</v>
          </cell>
          <cell r="DF102">
            <v>39596</v>
          </cell>
          <cell r="DG102">
            <v>28487</v>
          </cell>
          <cell r="DH102">
            <v>67825</v>
          </cell>
          <cell r="DI102">
            <v>63481</v>
          </cell>
          <cell r="DJ102">
            <v>28444</v>
          </cell>
        </row>
        <row r="103">
          <cell r="CW103">
            <v>11995</v>
          </cell>
          <cell r="CX103">
            <v>4342</v>
          </cell>
          <cell r="CY103">
            <v>6994</v>
          </cell>
          <cell r="CZ103">
            <v>13377</v>
          </cell>
          <cell r="DA103">
            <v>5698</v>
          </cell>
          <cell r="DB103">
            <v>5392</v>
          </cell>
          <cell r="DC103">
            <v>5838</v>
          </cell>
          <cell r="DD103">
            <v>5338</v>
          </cell>
          <cell r="DE103">
            <v>9078</v>
          </cell>
          <cell r="DF103">
            <v>6378</v>
          </cell>
          <cell r="DG103">
            <v>5206</v>
          </cell>
          <cell r="DH103">
            <v>11995</v>
          </cell>
          <cell r="DI103">
            <v>11355</v>
          </cell>
          <cell r="DJ103">
            <v>4986</v>
          </cell>
        </row>
        <row r="104">
          <cell r="CW104">
            <v>0.1768521931441209</v>
          </cell>
          <cell r="CX104">
            <v>0.14411364466128979</v>
          </cell>
          <cell r="CY104">
            <v>0.13264551368369146</v>
          </cell>
          <cell r="CZ104">
            <v>0.18148148148148149</v>
          </cell>
          <cell r="DA104">
            <v>0.14638783269961977</v>
          </cell>
          <cell r="DB104">
            <v>0.18953214524236353</v>
          </cell>
          <cell r="DC104">
            <v>0.1809671419714817</v>
          </cell>
          <cell r="DD104">
            <v>0.14068100358422939</v>
          </cell>
          <cell r="DE104">
            <v>0.16708693011356315</v>
          </cell>
          <cell r="DF104">
            <v>0.16107687645216689</v>
          </cell>
          <cell r="DG104">
            <v>0.18275002632779863</v>
          </cell>
          <cell r="DH104">
            <v>0.1768521931441209</v>
          </cell>
          <cell r="DI104">
            <v>0.17887241851892693</v>
          </cell>
          <cell r="DJ104">
            <v>0.1752918014343974</v>
          </cell>
        </row>
        <row r="105">
          <cell r="CW105">
            <v>716.56868223067556</v>
          </cell>
          <cell r="CX105">
            <v>247.92813475983712</v>
          </cell>
          <cell r="CY105">
            <v>115.59206920704366</v>
          </cell>
          <cell r="CZ105">
            <v>-444.68362101687205</v>
          </cell>
          <cell r="DA105">
            <v>78.935095518766303</v>
          </cell>
          <cell r="DB105">
            <v>104.72040222934262</v>
          </cell>
          <cell r="DC105">
            <v>180.38278858486248</v>
          </cell>
          <cell r="DD105">
            <v>350.91144216180345</v>
          </cell>
          <cell r="DE105">
            <v>511.28184523622491</v>
          </cell>
          <cell r="DF105">
            <v>-127.06588497365379</v>
          </cell>
          <cell r="DG105">
            <v>414.0711176168557</v>
          </cell>
          <cell r="DH105">
            <v>-518.4403115767152</v>
          </cell>
          <cell r="DI105">
            <v>150.50363480689958</v>
          </cell>
          <cell r="DJ105">
            <v>155.52255273018966</v>
          </cell>
        </row>
        <row r="106">
          <cell r="CW106">
            <v>42122.789222373809</v>
          </cell>
          <cell r="CX106">
            <v>45993.121158446702</v>
          </cell>
          <cell r="CY106">
            <v>37872.366221514261</v>
          </cell>
          <cell r="CZ106">
            <v>43207.012577522641</v>
          </cell>
          <cell r="DA106">
            <v>29612.257576087311</v>
          </cell>
          <cell r="DB106">
            <v>16031.505380654842</v>
          </cell>
          <cell r="DC106">
            <v>22108.852344992054</v>
          </cell>
          <cell r="DD106">
            <v>43878.16761472595</v>
          </cell>
          <cell r="DE106">
            <v>64807.596046011451</v>
          </cell>
          <cell r="DF106">
            <v>13251.185379826416</v>
          </cell>
          <cell r="DG106">
            <v>28572.562350520318</v>
          </cell>
          <cell r="DH106">
            <v>87128.809004092778</v>
          </cell>
          <cell r="DI106">
            <v>77991.173844837103</v>
          </cell>
          <cell r="DJ106">
            <v>12190.383151858634</v>
          </cell>
        </row>
        <row r="107">
          <cell r="CW107">
            <v>1259.9476579636871</v>
          </cell>
          <cell r="CX107">
            <v>983.37311059841329</v>
          </cell>
          <cell r="CY107">
            <v>558.32768312003736</v>
          </cell>
          <cell r="CZ107">
            <v>474.34718119709652</v>
          </cell>
          <cell r="DA107">
            <v>607.44770264356168</v>
          </cell>
          <cell r="DB107">
            <v>527.03044191809113</v>
          </cell>
          <cell r="DC107">
            <v>818.2064241319697</v>
          </cell>
          <cell r="DD107">
            <v>919.54959552865728</v>
          </cell>
          <cell r="DE107">
            <v>963.24312308045</v>
          </cell>
          <cell r="DF107">
            <v>239.37980233490413</v>
          </cell>
          <cell r="DG107">
            <v>983.89034671916897</v>
          </cell>
          <cell r="DH107">
            <v>1368.9677138191746</v>
          </cell>
          <cell r="DI107">
            <v>1628.2323873906676</v>
          </cell>
          <cell r="DJ107">
            <v>202.09772815581329</v>
          </cell>
        </row>
        <row r="108">
          <cell r="CW108">
            <v>2.9911306473847113E-2</v>
          </cell>
          <cell r="CX108">
            <v>2.1380873613919011E-2</v>
          </cell>
          <cell r="CY108">
            <v>1.4742350130815606E-2</v>
          </cell>
          <cell r="CZ108">
            <v>1.0978476707826444E-2</v>
          </cell>
          <cell r="DA108">
            <v>2.0513387102714248E-2</v>
          </cell>
          <cell r="DB108">
            <v>3.2874669558733818E-2</v>
          </cell>
          <cell r="DC108">
            <v>3.7008091210003681E-2</v>
          </cell>
          <cell r="DD108">
            <v>2.0956882329335177E-2</v>
          </cell>
          <cell r="DE108">
            <v>1.4863120711908158E-2</v>
          </cell>
          <cell r="DF108">
            <v>1.8064784053156147E-2</v>
          </cell>
          <cell r="DG108">
            <v>3.4434795684372771E-2</v>
          </cell>
          <cell r="DH108">
            <v>1.571199847061916E-2</v>
          </cell>
          <cell r="DI108">
            <v>2.087713656714572E-2</v>
          </cell>
          <cell r="DJ108">
            <v>1.6578455790784558E-2</v>
          </cell>
        </row>
        <row r="109">
          <cell r="CW109">
            <v>416251</v>
          </cell>
          <cell r="CX109">
            <v>192514</v>
          </cell>
          <cell r="CY109">
            <v>326298</v>
          </cell>
          <cell r="CZ109">
            <v>461971</v>
          </cell>
          <cell r="DA109">
            <v>215377</v>
          </cell>
          <cell r="DB109">
            <v>161180</v>
          </cell>
          <cell r="DC109">
            <v>177435</v>
          </cell>
          <cell r="DD109">
            <v>213014</v>
          </cell>
          <cell r="DE109">
            <v>295929</v>
          </cell>
          <cell r="DF109">
            <v>210869</v>
          </cell>
          <cell r="DG109">
            <v>155718</v>
          </cell>
          <cell r="DH109">
            <v>416251</v>
          </cell>
          <cell r="DI109">
            <v>395221</v>
          </cell>
          <cell r="DJ109">
            <v>154686</v>
          </cell>
        </row>
        <row r="110">
          <cell r="CW110">
            <v>7040</v>
          </cell>
          <cell r="CX110">
            <v>3034</v>
          </cell>
          <cell r="CY110">
            <v>5612</v>
          </cell>
          <cell r="CZ110">
            <v>8206</v>
          </cell>
          <cell r="DA110">
            <v>3980</v>
          </cell>
          <cell r="DB110">
            <v>3170</v>
          </cell>
          <cell r="DC110">
            <v>3913</v>
          </cell>
          <cell r="DD110">
            <v>3837</v>
          </cell>
          <cell r="DE110">
            <v>5083</v>
          </cell>
          <cell r="DF110">
            <v>4389</v>
          </cell>
          <cell r="DG110">
            <v>3511</v>
          </cell>
          <cell r="DH110">
            <v>7040</v>
          </cell>
          <cell r="DI110">
            <v>6625</v>
          </cell>
          <cell r="DJ110">
            <v>3732</v>
          </cell>
        </row>
        <row r="111">
          <cell r="CW111">
            <v>1.6912872281387912E-2</v>
          </cell>
          <cell r="CX111">
            <v>1.5759892787018087E-2</v>
          </cell>
          <cell r="CY111">
            <v>1.7199002139148878E-2</v>
          </cell>
          <cell r="CZ111">
            <v>1.7763019756651392E-2</v>
          </cell>
          <cell r="DA111">
            <v>1.8479224801162611E-2</v>
          </cell>
          <cell r="DB111">
            <v>1.9667452537535674E-2</v>
          </cell>
          <cell r="DC111">
            <v>2.2053146222560376E-2</v>
          </cell>
          <cell r="DD111">
            <v>1.8012900560526537E-2</v>
          </cell>
          <cell r="DE111">
            <v>1.7176417316315737E-2</v>
          </cell>
          <cell r="DF111">
            <v>2.0813870222744928E-2</v>
          </cell>
          <cell r="DG111">
            <v>2.2547168599648081E-2</v>
          </cell>
          <cell r="DH111">
            <v>1.6912872281387912E-2</v>
          </cell>
          <cell r="DI111">
            <v>1.6762773233203701E-2</v>
          </cell>
          <cell r="DJ111">
            <v>2.4126294558007834E-2</v>
          </cell>
        </row>
        <row r="112">
          <cell r="CW112">
            <v>547.53030370985562</v>
          </cell>
          <cell r="CX112">
            <v>258.52645220096008</v>
          </cell>
          <cell r="CY112">
            <v>-93.039224538416207</v>
          </cell>
          <cell r="CZ112">
            <v>-293.13983684332334</v>
          </cell>
          <cell r="DA112">
            <v>60.236138025113661</v>
          </cell>
          <cell r="DB112">
            <v>211.73157073881427</v>
          </cell>
          <cell r="DC112">
            <v>330.63667055486303</v>
          </cell>
          <cell r="DD112">
            <v>129.17652550648285</v>
          </cell>
          <cell r="DE112">
            <v>-149.91919187305638</v>
          </cell>
          <cell r="DF112">
            <v>-36.428650458337877</v>
          </cell>
          <cell r="DG112">
            <v>339.65996607803032</v>
          </cell>
          <cell r="DH112">
            <v>-104.63070489648757</v>
          </cell>
          <cell r="DI112">
            <v>320.88402603829564</v>
          </cell>
          <cell r="DJ112">
            <v>-92.011046540904076</v>
          </cell>
        </row>
        <row r="113">
          <cell r="CW113">
            <v>24589.833829858133</v>
          </cell>
          <cell r="CX113">
            <v>24845.946862234123</v>
          </cell>
          <cell r="CY113">
            <v>22410.875041364961</v>
          </cell>
          <cell r="CZ113">
            <v>23245.054960115987</v>
          </cell>
          <cell r="DA113">
            <v>20145.909979216765</v>
          </cell>
          <cell r="DB113">
            <v>9854.3330164311847</v>
          </cell>
          <cell r="DC113">
            <v>12504.986685214626</v>
          </cell>
          <cell r="DD113">
            <v>27303.815690515832</v>
          </cell>
          <cell r="DE113">
            <v>36894.443281569394</v>
          </cell>
          <cell r="DF113">
            <v>7479.3169404082155</v>
          </cell>
          <cell r="DG113">
            <v>17204.49250357593</v>
          </cell>
          <cell r="DH113">
            <v>50862.798374854385</v>
          </cell>
          <cell r="DI113">
            <v>45651.815436017976</v>
          </cell>
          <cell r="DJ113">
            <v>7219.3774470570424</v>
          </cell>
        </row>
        <row r="114">
          <cell r="CW114">
            <v>4254.6501354925585</v>
          </cell>
          <cell r="CX114">
            <v>3597.3739020517414</v>
          </cell>
          <cell r="CY114">
            <v>2359.5674373387192</v>
          </cell>
          <cell r="CZ114">
            <v>1770.8013395345984</v>
          </cell>
          <cell r="DA114">
            <v>1589.9045193724778</v>
          </cell>
          <cell r="DB114">
            <v>1161.9103392332122</v>
          </cell>
          <cell r="DC114">
            <v>2628.5561736594032</v>
          </cell>
          <cell r="DD114">
            <v>3866.8564132620695</v>
          </cell>
          <cell r="DE114">
            <v>3990.9776766610144</v>
          </cell>
          <cell r="DF114">
            <v>861.8901666038123</v>
          </cell>
          <cell r="DG114">
            <v>2589.333378611791</v>
          </cell>
          <cell r="DH114">
            <v>5536.7066091632532</v>
          </cell>
          <cell r="DI114">
            <v>6473.8816034488491</v>
          </cell>
          <cell r="DJ114">
            <v>710.63492192050501</v>
          </cell>
        </row>
        <row r="115">
          <cell r="CW115">
            <v>0.17302476157144106</v>
          </cell>
          <cell r="CX115">
            <v>0.14478715268926842</v>
          </cell>
          <cell r="CY115">
            <v>0.10528671606903069</v>
          </cell>
          <cell r="CZ115">
            <v>7.6179701126667609E-2</v>
          </cell>
          <cell r="DA115">
            <v>7.8919469064077014E-2</v>
          </cell>
          <cell r="DB115">
            <v>0.11790857253310139</v>
          </cell>
          <cell r="DC115">
            <v>0.21020063753984625</v>
          </cell>
          <cell r="DD115">
            <v>0.1416232975307275</v>
          </cell>
          <cell r="DE115">
            <v>0.10817286620109283</v>
          </cell>
          <cell r="DF115">
            <v>0.11523648128177477</v>
          </cell>
          <cell r="DG115">
            <v>0.15050332801584246</v>
          </cell>
          <cell r="DH115">
            <v>0.10885572139303483</v>
          </cell>
          <cell r="DI115">
            <v>0.14180994866506758</v>
          </cell>
          <cell r="DJ115">
            <v>9.8434377081945371E-2</v>
          </cell>
        </row>
        <row r="116">
          <cell r="CW116">
            <v>242993</v>
          </cell>
          <cell r="CX116">
            <v>103998</v>
          </cell>
          <cell r="CY116">
            <v>193086</v>
          </cell>
          <cell r="CZ116">
            <v>248537</v>
          </cell>
          <cell r="DA116">
            <v>146526</v>
          </cell>
          <cell r="DB116">
            <v>99075</v>
          </cell>
          <cell r="DC116">
            <v>100359</v>
          </cell>
          <cell r="DD116">
            <v>132551</v>
          </cell>
          <cell r="DE116">
            <v>168470</v>
          </cell>
          <cell r="DF116">
            <v>119020</v>
          </cell>
          <cell r="DG116">
            <v>93763</v>
          </cell>
          <cell r="DH116">
            <v>242993</v>
          </cell>
          <cell r="DI116">
            <v>231341</v>
          </cell>
          <cell r="DJ116">
            <v>91608</v>
          </cell>
        </row>
        <row r="117">
          <cell r="CW117">
            <v>24664</v>
          </cell>
          <cell r="CX117">
            <v>8621</v>
          </cell>
          <cell r="CY117">
            <v>18036</v>
          </cell>
          <cell r="CZ117">
            <v>28158</v>
          </cell>
          <cell r="DA117">
            <v>11785</v>
          </cell>
          <cell r="DB117">
            <v>9531</v>
          </cell>
          <cell r="DC117">
            <v>11370</v>
          </cell>
          <cell r="DD117">
            <v>12550</v>
          </cell>
          <cell r="DE117">
            <v>16523</v>
          </cell>
          <cell r="DF117">
            <v>12736</v>
          </cell>
          <cell r="DG117">
            <v>9436</v>
          </cell>
          <cell r="DH117">
            <v>24664</v>
          </cell>
          <cell r="DI117">
            <v>23671</v>
          </cell>
          <cell r="DJ117">
            <v>9634</v>
          </cell>
        </row>
        <row r="118">
          <cell r="CW118">
            <v>0.10150086628009861</v>
          </cell>
          <cell r="CX118">
            <v>8.2895824919709996E-2</v>
          </cell>
          <cell r="CY118">
            <v>9.3409154470028899E-2</v>
          </cell>
          <cell r="CZ118">
            <v>0.11329500235377429</v>
          </cell>
          <cell r="DA118">
            <v>8.0429411844996787E-2</v>
          </cell>
          <cell r="DB118">
            <v>9.6199848599545792E-2</v>
          </cell>
          <cell r="DC118">
            <v>0.11329327713508504</v>
          </cell>
          <cell r="DD118">
            <v>9.4680538057049735E-2</v>
          </cell>
          <cell r="DE118">
            <v>9.8076808927405473E-2</v>
          </cell>
          <cell r="DF118">
            <v>0.10700722567635691</v>
          </cell>
          <cell r="DG118">
            <v>0.10063671170930964</v>
          </cell>
          <cell r="DH118">
            <v>0.10150086628009861</v>
          </cell>
          <cell r="DI118">
            <v>0.10232081645709148</v>
          </cell>
          <cell r="DJ118">
            <v>0.10516548773032923</v>
          </cell>
        </row>
        <row r="119">
          <cell r="CW119">
            <v>1758.7607000782834</v>
          </cell>
          <cell r="CX119">
            <v>1537.7486409955638</v>
          </cell>
          <cell r="CY119">
            <v>266.18654879134402</v>
          </cell>
          <cell r="CZ119">
            <v>-862.7472168853551</v>
          </cell>
          <cell r="DA119">
            <v>-30.419171338177964</v>
          </cell>
          <cell r="DB119">
            <v>213.92499500302674</v>
          </cell>
          <cell r="DC119">
            <v>1211.825251560834</v>
          </cell>
          <cell r="DD119">
            <v>1281.7164526735137</v>
          </cell>
          <cell r="DE119">
            <v>372.48841245153426</v>
          </cell>
          <cell r="DF119">
            <v>61.549210856551106</v>
          </cell>
          <cell r="DG119">
            <v>857.92982642444122</v>
          </cell>
          <cell r="DH119">
            <v>374.08851268554218</v>
          </cell>
          <cell r="DI119">
            <v>1802.7505752870379</v>
          </cell>
          <cell r="DJ119">
            <v>-48.594428408587937</v>
          </cell>
        </row>
        <row r="122">
          <cell r="CW122" t="str">
            <v>Northumbria</v>
          </cell>
          <cell r="CX122" t="str">
            <v>Nottinghamshire</v>
          </cell>
          <cell r="CY122" t="str">
            <v>South Wales</v>
          </cell>
          <cell r="CZ122" t="str">
            <v>South Yorkshire</v>
          </cell>
          <cell r="DA122" t="str">
            <v>Staffordshire</v>
          </cell>
          <cell r="DB122" t="str">
            <v>Suffolk</v>
          </cell>
          <cell r="DC122" t="str">
            <v>Surrey</v>
          </cell>
          <cell r="DD122" t="str">
            <v>Sussex</v>
          </cell>
          <cell r="DE122" t="str">
            <v>Thames Valley</v>
          </cell>
          <cell r="DF122" t="str">
            <v>Warwickshire</v>
          </cell>
          <cell r="DG122" t="str">
            <v>West Mercia</v>
          </cell>
          <cell r="DH122" t="str">
            <v>West Midlands</v>
          </cell>
          <cell r="DI122" t="str">
            <v>West Yorkshire</v>
          </cell>
          <cell r="DJ122" t="str">
            <v>Wiltshire</v>
          </cell>
        </row>
        <row r="123">
          <cell r="CW123">
            <v>142122</v>
          </cell>
          <cell r="CX123">
            <v>143108</v>
          </cell>
          <cell r="CY123">
            <v>124162</v>
          </cell>
          <cell r="CZ123">
            <v>140370.99999999997</v>
          </cell>
          <cell r="DA123">
            <v>101084.00000000001</v>
          </cell>
          <cell r="DB123">
            <v>52101</v>
          </cell>
          <cell r="DC123">
            <v>70851</v>
          </cell>
          <cell r="DD123">
            <v>140177</v>
          </cell>
          <cell r="DE123">
            <v>205273</v>
          </cell>
          <cell r="DF123">
            <v>43130.999999999993</v>
          </cell>
          <cell r="DG123">
            <v>95056</v>
          </cell>
          <cell r="DH123">
            <v>293972.00000000006</v>
          </cell>
          <cell r="DI123">
            <v>263534</v>
          </cell>
          <cell r="DJ123">
            <v>40075.000000000007</v>
          </cell>
        </row>
        <row r="124">
          <cell r="CW124">
            <v>12157.21449298209</v>
          </cell>
          <cell r="CX124">
            <v>8947.5425425098583</v>
          </cell>
          <cell r="CY124">
            <v>5852.5206419008855</v>
          </cell>
          <cell r="CZ124">
            <v>4738.9300183847417</v>
          </cell>
          <cell r="DA124">
            <v>4780.6891254777365</v>
          </cell>
          <cell r="DB124">
            <v>3598.3177279796396</v>
          </cell>
          <cell r="DC124">
            <v>7260.7739840265385</v>
          </cell>
          <cell r="DD124">
            <v>9665.6936255035416</v>
          </cell>
          <cell r="DE124">
            <v>11471.897146663647</v>
          </cell>
          <cell r="DF124">
            <v>2418.1524462468983</v>
          </cell>
          <cell r="DG124">
            <v>7455.1737558557834</v>
          </cell>
          <cell r="DH124">
            <v>14075.724595642732</v>
          </cell>
          <cell r="DI124">
            <v>16423.254522132371</v>
          </cell>
          <cell r="DJ124">
            <v>2096.6476713085999</v>
          </cell>
        </row>
        <row r="126">
          <cell r="CW126">
            <v>1404428</v>
          </cell>
          <cell r="CX126">
            <v>599009</v>
          </cell>
          <cell r="CY126">
            <v>1069746</v>
          </cell>
          <cell r="CZ126">
            <v>1500852</v>
          </cell>
          <cell r="DA126">
            <v>735208</v>
          </cell>
          <cell r="DB126">
            <v>523821</v>
          </cell>
          <cell r="DC126">
            <v>568616</v>
          </cell>
          <cell r="DD126">
            <v>680513</v>
          </cell>
          <cell r="DE126">
            <v>937332</v>
          </cell>
          <cell r="DF126">
            <v>686353</v>
          </cell>
          <cell r="DG126">
            <v>518047</v>
          </cell>
          <cell r="DH126">
            <v>1404428</v>
          </cell>
          <cell r="DI126">
            <v>1335461</v>
          </cell>
          <cell r="DJ126">
            <v>508519</v>
          </cell>
        </row>
        <row r="127">
          <cell r="CW127">
            <v>69327</v>
          </cell>
          <cell r="CX127">
            <v>24948</v>
          </cell>
          <cell r="CY127">
            <v>48424</v>
          </cell>
          <cell r="CZ127">
            <v>78584</v>
          </cell>
          <cell r="DA127">
            <v>34074</v>
          </cell>
          <cell r="DB127">
            <v>28251</v>
          </cell>
          <cell r="DC127">
            <v>34192</v>
          </cell>
          <cell r="DD127">
            <v>33841</v>
          </cell>
          <cell r="DE127">
            <v>48175</v>
          </cell>
          <cell r="DF127">
            <v>36965</v>
          </cell>
          <cell r="DG127">
            <v>28623</v>
          </cell>
          <cell r="DH127">
            <v>69327</v>
          </cell>
          <cell r="DI127">
            <v>66261</v>
          </cell>
          <cell r="DJ127">
            <v>28847</v>
          </cell>
        </row>
        <row r="129">
          <cell r="CW129">
            <v>5141.6238795793397</v>
          </cell>
          <cell r="CX129">
            <v>2987.2675149226261</v>
          </cell>
          <cell r="CY129">
            <v>232.10169385153515</v>
          </cell>
          <cell r="CZ129">
            <v>-2610.8384224741858</v>
          </cell>
          <cell r="DA129">
            <v>95.843182560902761</v>
          </cell>
          <cell r="DB129">
            <v>788.37816656457608</v>
          </cell>
          <cell r="DC129">
            <v>3000.3638091457751</v>
          </cell>
          <cell r="DD129">
            <v>2694.8791708200902</v>
          </cell>
          <cell r="DE129">
            <v>921.71132669804206</v>
          </cell>
          <cell r="DF129">
            <v>95.240744833777228</v>
          </cell>
          <cell r="DG129">
            <v>2203.1640192874806</v>
          </cell>
          <cell r="DH129">
            <v>-435.66142343407137</v>
          </cell>
          <cell r="DI129">
            <v>3347.6002169898029</v>
          </cell>
          <cell r="DJ129" t="e">
            <v>#DIV/0!</v>
          </cell>
        </row>
        <row r="130">
          <cell r="CW130">
            <v>0.42292779176902812</v>
          </cell>
          <cell r="CX130">
            <v>0.33386457798105906</v>
          </cell>
          <cell r="CY130">
            <v>3.9658415245870715E-2</v>
          </cell>
          <cell r="CZ130">
            <v>-0.55093415862766559</v>
          </cell>
          <cell r="DA130">
            <v>2.0047984724655174E-2</v>
          </cell>
          <cell r="DB130">
            <v>0.21909631838076446</v>
          </cell>
          <cell r="DC130">
            <v>0.41322919784398687</v>
          </cell>
          <cell r="DD130">
            <v>0.27880866859978692</v>
          </cell>
          <cell r="DE130">
            <v>8.0345152585865179E-2</v>
          </cell>
          <cell r="DF130">
            <v>3.9385748810665741E-2</v>
          </cell>
          <cell r="DG130">
            <v>0.29552148500321279</v>
          </cell>
          <cell r="DH130">
            <v>-3.0951260837323736E-2</v>
          </cell>
          <cell r="DI130">
            <v>0.20383293776994668</v>
          </cell>
          <cell r="DJ130" t="e">
            <v>#DIV/0!</v>
          </cell>
        </row>
      </sheetData>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Summary"/>
      <sheetName val="Progress"/>
      <sheetName val="Common values"/>
      <sheetName val="Table 6.1"/>
      <sheetName val="6.1 pivot"/>
      <sheetName val="Table 6.2"/>
      <sheetName val="6.2 pivot"/>
      <sheetName val="6.1 &amp; 6.2 data"/>
      <sheetName val="Table 6.3"/>
      <sheetName val="6.3 pivot"/>
      <sheetName val="Table 6.4"/>
      <sheetName val="6.4 pivot"/>
      <sheetName val="6.4 data"/>
      <sheetName val="Table 6a"/>
      <sheetName val="6a Pivot"/>
      <sheetName val="Table 6b"/>
      <sheetName val="6b TIC Pivot"/>
      <sheetName val="6b PND pivot"/>
      <sheetName val="6b CW pivot"/>
      <sheetName val="6b Cautions pivot"/>
      <sheetName val="6b Convictions pivot"/>
      <sheetName val="Table 6c"/>
      <sheetName val="6C summary"/>
      <sheetName val="6c cau conv pivot Q2 2010"/>
      <sheetName val="6c cau conv Q2 2011"/>
      <sheetName val="6c CW TIC pivot"/>
      <sheetName val="6c caution conviction Q2 2010"/>
      <sheetName val="6c caution conviction Q2 2011"/>
      <sheetName val="6c PND data"/>
      <sheetName val="6c CW TIC data "/>
      <sheetName val="Table 6d"/>
      <sheetName val="6d summary"/>
      <sheetName val="6d RC pivot"/>
      <sheetName val="6d CW Pivot"/>
      <sheetName val="6d TIC Pivot"/>
      <sheetName val="6d RC data"/>
      <sheetName val="6d CW TIC data"/>
      <sheetName val="6d data"/>
      <sheetName val="6.1 in text"/>
      <sheetName val="Common_values2"/>
      <sheetName val="Table_6_12"/>
      <sheetName val="6_1_pivot2"/>
      <sheetName val="Table_6_22"/>
      <sheetName val="6_2_pivot2"/>
      <sheetName val="6_1_&amp;_6_2_data2"/>
      <sheetName val="Table_6_32"/>
      <sheetName val="6_3_pivot2"/>
      <sheetName val="Table_6_42"/>
      <sheetName val="6_4_pivot2"/>
      <sheetName val="6_4_data2"/>
      <sheetName val="Table_6a2"/>
      <sheetName val="6a_Pivot2"/>
      <sheetName val="Table_6b2"/>
      <sheetName val="6b_TIC_Pivot2"/>
      <sheetName val="6b_PND_pivot2"/>
      <sheetName val="6b_CW_pivot2"/>
      <sheetName val="6b_Cautions_pivot2"/>
      <sheetName val="6b_Convictions_pivot2"/>
      <sheetName val="Table_6c2"/>
      <sheetName val="6C_summary2"/>
      <sheetName val="6c_cau_conv_pivot_Q2_20102"/>
      <sheetName val="6c_cau_conv_Q2_20112"/>
      <sheetName val="6c_CW_TIC_pivot2"/>
      <sheetName val="6c_caution_conviction_Q2_20102"/>
      <sheetName val="6c_caution_conviction_Q2_20112"/>
      <sheetName val="6c_PND_data2"/>
      <sheetName val="6c_CW_TIC_data_2"/>
      <sheetName val="Table_6d2"/>
      <sheetName val="6d_summary2"/>
      <sheetName val="6d_RC_pivot2"/>
      <sheetName val="6d_CW_Pivot2"/>
      <sheetName val="6d_TIC_Pivot2"/>
      <sheetName val="6d_RC_data2"/>
      <sheetName val="6d_CW_TIC_data2"/>
      <sheetName val="6d_data2"/>
      <sheetName val="6_1_in_text2"/>
      <sheetName val="Common_values"/>
      <sheetName val="Table_6_1"/>
      <sheetName val="6_1_pivot"/>
      <sheetName val="Table_6_2"/>
      <sheetName val="6_2_pivot"/>
      <sheetName val="6_1_&amp;_6_2_data"/>
      <sheetName val="Table_6_3"/>
      <sheetName val="6_3_pivot"/>
      <sheetName val="Table_6_4"/>
      <sheetName val="6_4_pivot"/>
      <sheetName val="6_4_data"/>
      <sheetName val="Table_6a"/>
      <sheetName val="6a_Pivot"/>
      <sheetName val="Table_6b"/>
      <sheetName val="6b_TIC_Pivot"/>
      <sheetName val="6b_PND_pivot"/>
      <sheetName val="6b_CW_pivot"/>
      <sheetName val="6b_Cautions_pivot"/>
      <sheetName val="6b_Convictions_pivot"/>
      <sheetName val="Table_6c"/>
      <sheetName val="6C_summary"/>
      <sheetName val="6c_cau_conv_pivot_Q2_2010"/>
      <sheetName val="6c_cau_conv_Q2_2011"/>
      <sheetName val="6c_CW_TIC_pivot"/>
      <sheetName val="6c_caution_conviction_Q2_2010"/>
      <sheetName val="6c_caution_conviction_Q2_2011"/>
      <sheetName val="6c_PND_data"/>
      <sheetName val="6c_CW_TIC_data_"/>
      <sheetName val="Table_6d"/>
      <sheetName val="6d_summary"/>
      <sheetName val="6d_RC_pivot"/>
      <sheetName val="6d_CW_Pivot"/>
      <sheetName val="6d_TIC_Pivot"/>
      <sheetName val="6d_RC_data"/>
      <sheetName val="6d_CW_TIC_data"/>
      <sheetName val="6d_data"/>
      <sheetName val="6_1_in_text"/>
      <sheetName val="Common_values1"/>
      <sheetName val="Table_6_11"/>
      <sheetName val="6_1_pivot1"/>
      <sheetName val="Table_6_21"/>
      <sheetName val="6_2_pivot1"/>
      <sheetName val="6_1_&amp;_6_2_data1"/>
      <sheetName val="Table_6_31"/>
      <sheetName val="6_3_pivot1"/>
      <sheetName val="Table_6_41"/>
      <sheetName val="6_4_pivot1"/>
      <sheetName val="6_4_data1"/>
      <sheetName val="Table_6a1"/>
      <sheetName val="6a_Pivot1"/>
      <sheetName val="Table_6b1"/>
      <sheetName val="6b_TIC_Pivot1"/>
      <sheetName val="6b_PND_pivot1"/>
      <sheetName val="6b_CW_pivot1"/>
      <sheetName val="6b_Cautions_pivot1"/>
      <sheetName val="6b_Convictions_pivot1"/>
      <sheetName val="Table_6c1"/>
      <sheetName val="6C_summary1"/>
      <sheetName val="6c_cau_conv_pivot_Q2_20101"/>
      <sheetName val="6c_cau_conv_Q2_20111"/>
      <sheetName val="6c_CW_TIC_pivot1"/>
      <sheetName val="6c_caution_conviction_Q2_20101"/>
      <sheetName val="6c_caution_conviction_Q2_20111"/>
      <sheetName val="6c_PND_data1"/>
      <sheetName val="6c_CW_TIC_data_1"/>
      <sheetName val="Table_6d1"/>
      <sheetName val="6d_summary1"/>
      <sheetName val="6d_RC_pivot1"/>
      <sheetName val="6d_CW_Pivot1"/>
      <sheetName val="6d_TIC_Pivot1"/>
      <sheetName val="6d_RC_data1"/>
      <sheetName val="6d_CW_TIC_data1"/>
      <sheetName val="6d_data1"/>
      <sheetName val="6_1_in_tex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Figure 3.1"/>
      <sheetName val="Table 3.5"/>
      <sheetName val="3.5 and 3a Pivot"/>
      <sheetName val="Table 3.6"/>
      <sheetName val="Table 3.7"/>
      <sheetName val="3.6 and 3.7 pivot"/>
      <sheetName val="Table 3a"/>
      <sheetName val="Table 3A (5.5)"/>
      <sheetName val="Table 5.7"/>
      <sheetName val="Lookups"/>
      <sheetName val="Table 3B(5.7)"/>
      <sheetName val="Table 3C 5.13"/>
      <sheetName val="Table 5.15"/>
      <sheetName val="Table 5.16"/>
      <sheetName val="Figure_3_11"/>
      <sheetName val="Table_3_51"/>
      <sheetName val="3_5_and_3a_Pivot1"/>
      <sheetName val="Table_3_61"/>
      <sheetName val="Table_3_71"/>
      <sheetName val="3_6_and_3_7_pivot1"/>
      <sheetName val="Table_3a1"/>
      <sheetName val="Table_3A_(5_5)1"/>
      <sheetName val="Table_5_71"/>
      <sheetName val="Table_3B(5_7)1"/>
      <sheetName val="Table_3C_5_131"/>
      <sheetName val="Table_5_151"/>
      <sheetName val="Table_5_161"/>
      <sheetName val="Figure_3_1"/>
      <sheetName val="Table_3_5"/>
      <sheetName val="3_5_and_3a_Pivot"/>
      <sheetName val="Table_3_6"/>
      <sheetName val="Table_3_7"/>
      <sheetName val="3_6_and_3_7_pivot"/>
      <sheetName val="Table_3a"/>
      <sheetName val="Table_3A_(5_5)"/>
      <sheetName val="Table_5_7"/>
      <sheetName val="Table_3B(5_7)"/>
      <sheetName val="Table_3C_5_13"/>
      <sheetName val="Table_5_15"/>
      <sheetName val="Table_5_16"/>
      <sheetName val="Figure_3_116"/>
      <sheetName val="Table_3_516"/>
      <sheetName val="3_5_and_3a_Pivot16"/>
      <sheetName val="Table_3_616"/>
      <sheetName val="Table_3_716"/>
      <sheetName val="3_6_and_3_7_pivot16"/>
      <sheetName val="Table_3a16"/>
      <sheetName val="Table_3A_(5_5)16"/>
      <sheetName val="Table_5_716"/>
      <sheetName val="Table_3B(5_7)16"/>
      <sheetName val="Table_3C_5_1316"/>
      <sheetName val="Table_5_1516"/>
      <sheetName val="Table_5_1616"/>
      <sheetName val="Figure_3_12"/>
      <sheetName val="Table_3_52"/>
      <sheetName val="3_5_and_3a_Pivot2"/>
      <sheetName val="Table_3_62"/>
      <sheetName val="Table_3_72"/>
      <sheetName val="3_6_and_3_7_pivot2"/>
      <sheetName val="Table_3a2"/>
      <sheetName val="Table_3A_(5_5)2"/>
      <sheetName val="Table_5_72"/>
      <sheetName val="Table_3B(5_7)2"/>
      <sheetName val="Table_3C_5_132"/>
      <sheetName val="Table_5_152"/>
      <sheetName val="Table_5_162"/>
      <sheetName val="Figure_3_13"/>
      <sheetName val="Table_3_53"/>
      <sheetName val="3_5_and_3a_Pivot3"/>
      <sheetName val="Table_3_63"/>
      <sheetName val="Table_3_73"/>
      <sheetName val="3_6_and_3_7_pivot3"/>
      <sheetName val="Table_3a3"/>
      <sheetName val="Table_3A_(5_5)3"/>
      <sheetName val="Table_5_73"/>
      <sheetName val="Table_3B(5_7)3"/>
      <sheetName val="Table_3C_5_133"/>
      <sheetName val="Table_5_153"/>
      <sheetName val="Table_5_163"/>
      <sheetName val="Figure_3_14"/>
      <sheetName val="Table_3_54"/>
      <sheetName val="3_5_and_3a_Pivot4"/>
      <sheetName val="Table_3_64"/>
      <sheetName val="Table_3_74"/>
      <sheetName val="3_6_and_3_7_pivot4"/>
      <sheetName val="Table_3a4"/>
      <sheetName val="Table_3A_(5_5)4"/>
      <sheetName val="Table_5_74"/>
      <sheetName val="Table_3B(5_7)4"/>
      <sheetName val="Table_3C_5_134"/>
      <sheetName val="Table_5_154"/>
      <sheetName val="Table_5_164"/>
      <sheetName val="Figure_3_16"/>
      <sheetName val="Table_3_56"/>
      <sheetName val="3_5_and_3a_Pivot6"/>
      <sheetName val="Table_3_66"/>
      <sheetName val="Table_3_76"/>
      <sheetName val="3_6_and_3_7_pivot6"/>
      <sheetName val="Table_3a6"/>
      <sheetName val="Table_3A_(5_5)6"/>
      <sheetName val="Table_5_76"/>
      <sheetName val="Table_3B(5_7)6"/>
      <sheetName val="Table_3C_5_136"/>
      <sheetName val="Table_5_156"/>
      <sheetName val="Table_5_166"/>
      <sheetName val="Figure_3_15"/>
      <sheetName val="Table_3_55"/>
      <sheetName val="3_5_and_3a_Pivot5"/>
      <sheetName val="Table_3_65"/>
      <sheetName val="Table_3_75"/>
      <sheetName val="3_6_and_3_7_pivot5"/>
      <sheetName val="Table_3a5"/>
      <sheetName val="Table_3A_(5_5)5"/>
      <sheetName val="Table_5_75"/>
      <sheetName val="Table_3B(5_7)5"/>
      <sheetName val="Table_3C_5_135"/>
      <sheetName val="Table_5_155"/>
      <sheetName val="Table_5_165"/>
      <sheetName val="Figure_3_17"/>
      <sheetName val="Table_3_57"/>
      <sheetName val="3_5_and_3a_Pivot7"/>
      <sheetName val="Table_3_67"/>
      <sheetName val="Table_3_77"/>
      <sheetName val="3_6_and_3_7_pivot7"/>
      <sheetName val="Table_3a7"/>
      <sheetName val="Table_3A_(5_5)7"/>
      <sheetName val="Table_3B(5_7)7"/>
      <sheetName val="Table_3C_5_137"/>
      <sheetName val="Table_5_157"/>
      <sheetName val="Table_5_167"/>
      <sheetName val="Table_5_77"/>
      <sheetName val="Figure_3_19"/>
      <sheetName val="Table_3_59"/>
      <sheetName val="3_5_and_3a_Pivot9"/>
      <sheetName val="Table_3_69"/>
      <sheetName val="Table_3_79"/>
      <sheetName val="3_6_and_3_7_pivot9"/>
      <sheetName val="Table_3a9"/>
      <sheetName val="Table_3A_(5_5)9"/>
      <sheetName val="Table_3B(5_7)9"/>
      <sheetName val="Table_3C_5_139"/>
      <sheetName val="Table_5_159"/>
      <sheetName val="Table_5_169"/>
      <sheetName val="Table_5_79"/>
      <sheetName val="Figure_3_18"/>
      <sheetName val="Table_3_58"/>
      <sheetName val="3_5_and_3a_Pivot8"/>
      <sheetName val="Table_3_68"/>
      <sheetName val="Table_3_78"/>
      <sheetName val="3_6_and_3_7_pivot8"/>
      <sheetName val="Table_3a8"/>
      <sheetName val="Table_3A_(5_5)8"/>
      <sheetName val="Table_3B(5_7)8"/>
      <sheetName val="Table_3C_5_138"/>
      <sheetName val="Table_5_158"/>
      <sheetName val="Table_5_168"/>
      <sheetName val="Table_5_78"/>
      <sheetName val="Figure_3_110"/>
      <sheetName val="Table_3_510"/>
      <sheetName val="3_5_and_3a_Pivot10"/>
      <sheetName val="Table_3_610"/>
      <sheetName val="Table_3_710"/>
      <sheetName val="3_6_and_3_7_pivot10"/>
      <sheetName val="Table_3a10"/>
      <sheetName val="Table_3A_(5_5)10"/>
      <sheetName val="Table_3B(5_7)10"/>
      <sheetName val="Table_3C_5_1310"/>
      <sheetName val="Table_5_1510"/>
      <sheetName val="Table_5_1610"/>
      <sheetName val="Table_5_710"/>
      <sheetName val="Figure_3_114"/>
      <sheetName val="Table_3_514"/>
      <sheetName val="3_5_and_3a_Pivot14"/>
      <sheetName val="Table_3_614"/>
      <sheetName val="Table_3_714"/>
      <sheetName val="3_6_and_3_7_pivot14"/>
      <sheetName val="Table_3a14"/>
      <sheetName val="Table_3A_(5_5)14"/>
      <sheetName val="Table_5_714"/>
      <sheetName val="Table_3B(5_7)14"/>
      <sheetName val="Table_3C_5_1314"/>
      <sheetName val="Table_5_1514"/>
      <sheetName val="Table_5_1614"/>
      <sheetName val="Figure_3_111"/>
      <sheetName val="Table_3_511"/>
      <sheetName val="3_5_and_3a_Pivot11"/>
      <sheetName val="Table_3_611"/>
      <sheetName val="Table_3_711"/>
      <sheetName val="3_6_and_3_7_pivot11"/>
      <sheetName val="Table_3a11"/>
      <sheetName val="Table_3A_(5_5)11"/>
      <sheetName val="Table_5_711"/>
      <sheetName val="Table_3B(5_7)11"/>
      <sheetName val="Table_3C_5_1311"/>
      <sheetName val="Table_5_1511"/>
      <sheetName val="Table_5_1611"/>
      <sheetName val="Figure_3_112"/>
      <sheetName val="Table_3_512"/>
      <sheetName val="3_5_and_3a_Pivot12"/>
      <sheetName val="Table_3_612"/>
      <sheetName val="Table_3_712"/>
      <sheetName val="3_6_and_3_7_pivot12"/>
      <sheetName val="Table_3a12"/>
      <sheetName val="Table_3A_(5_5)12"/>
      <sheetName val="Table_5_712"/>
      <sheetName val="Table_3B(5_7)12"/>
      <sheetName val="Table_3C_5_1312"/>
      <sheetName val="Table_5_1512"/>
      <sheetName val="Table_5_1612"/>
      <sheetName val="Figure_3_113"/>
      <sheetName val="Table_3_513"/>
      <sheetName val="3_5_and_3a_Pivot13"/>
      <sheetName val="Table_3_613"/>
      <sheetName val="Table_3_713"/>
      <sheetName val="3_6_and_3_7_pivot13"/>
      <sheetName val="Table_3a13"/>
      <sheetName val="Table_3A_(5_5)13"/>
      <sheetName val="Table_5_713"/>
      <sheetName val="Table_3B(5_7)13"/>
      <sheetName val="Table_3C_5_1313"/>
      <sheetName val="Table_5_1513"/>
      <sheetName val="Table_5_1613"/>
      <sheetName val="Figure_3_115"/>
      <sheetName val="Table_3_515"/>
      <sheetName val="3_5_and_3a_Pivot15"/>
      <sheetName val="Table_3_615"/>
      <sheetName val="Table_3_715"/>
      <sheetName val="3_6_and_3_7_pivot15"/>
      <sheetName val="Table_3a15"/>
      <sheetName val="Table_3A_(5_5)15"/>
      <sheetName val="Table_5_715"/>
      <sheetName val="Table_3B(5_7)15"/>
      <sheetName val="Table_3C_5_1315"/>
      <sheetName val="Table_5_1515"/>
      <sheetName val="Table_5_1615"/>
      <sheetName val="Figure_3_117"/>
      <sheetName val="Table_3_517"/>
      <sheetName val="3_5_and_3a_Pivot17"/>
      <sheetName val="Table_3_617"/>
      <sheetName val="Table_3_717"/>
      <sheetName val="3_6_and_3_7_pivot17"/>
      <sheetName val="Table_3a17"/>
      <sheetName val="Table_3A_(5_5)17"/>
      <sheetName val="Table_5_717"/>
      <sheetName val="Table_3B(5_7)17"/>
      <sheetName val="Table_3C_5_1317"/>
      <sheetName val="Table_5_1517"/>
      <sheetName val="Table_5_1617"/>
      <sheetName val="Figure_3_119"/>
      <sheetName val="Table_3_519"/>
      <sheetName val="3_5_and_3a_Pivot19"/>
      <sheetName val="Table_3_619"/>
      <sheetName val="Table_3_719"/>
      <sheetName val="3_6_and_3_7_pivot19"/>
      <sheetName val="Table_3a19"/>
      <sheetName val="Table_3A_(5_5)19"/>
      <sheetName val="Table_5_719"/>
      <sheetName val="Table_3B(5_7)19"/>
      <sheetName val="Table_3C_5_1319"/>
      <sheetName val="Table_5_1519"/>
      <sheetName val="Table_5_1619"/>
      <sheetName val="Figure_3_118"/>
      <sheetName val="Table_3_518"/>
      <sheetName val="3_5_and_3a_Pivot18"/>
      <sheetName val="Table_3_618"/>
      <sheetName val="Table_3_718"/>
      <sheetName val="3_6_and_3_7_pivot18"/>
      <sheetName val="Table_3a18"/>
      <sheetName val="Table_3A_(5_5)18"/>
      <sheetName val="Table_5_718"/>
      <sheetName val="Table_3B(5_7)18"/>
      <sheetName val="Table_3C_5_1318"/>
      <sheetName val="Table_5_1518"/>
      <sheetName val="Table_5_1618"/>
      <sheetName val="Figure_3_120"/>
      <sheetName val="Table_3_520"/>
      <sheetName val="3_5_and_3a_Pivot20"/>
      <sheetName val="Table_3_620"/>
      <sheetName val="Table_3_720"/>
      <sheetName val="3_6_and_3_7_pivot20"/>
      <sheetName val="Table_3a20"/>
      <sheetName val="Table_3A_(5_5)20"/>
      <sheetName val="Table_5_720"/>
      <sheetName val="Table_3B(5_7)20"/>
      <sheetName val="Table_3C_5_1320"/>
      <sheetName val="Table_5_1520"/>
      <sheetName val="Table_5_1620"/>
      <sheetName val="Figure_3_121"/>
      <sheetName val="Table_3_521"/>
      <sheetName val="3_5_and_3a_Pivot21"/>
      <sheetName val="Table_3_621"/>
      <sheetName val="Table_3_721"/>
      <sheetName val="3_6_and_3_7_pivot21"/>
      <sheetName val="Table_3a21"/>
      <sheetName val="Table_3A_(5_5)21"/>
      <sheetName val="Table_5_721"/>
      <sheetName val="Table_3B(5_7)21"/>
      <sheetName val="Table_3C_5_1321"/>
      <sheetName val="Table_5_1521"/>
      <sheetName val="Table_5_1621"/>
    </sheetNames>
    <sheetDataSet>
      <sheetData sheetId="0"/>
      <sheetData sheetId="1" refreshError="1"/>
      <sheetData sheetId="2" refreshError="1">
        <row r="12">
          <cell r="AA12">
            <v>1999</v>
          </cell>
          <cell r="AC12">
            <v>136</v>
          </cell>
          <cell r="AE12">
            <v>80</v>
          </cell>
          <cell r="AG12">
            <v>40</v>
          </cell>
          <cell r="AI12">
            <v>16</v>
          </cell>
        </row>
        <row r="13">
          <cell r="AA13">
            <v>2000</v>
          </cell>
          <cell r="AC13">
            <v>142</v>
          </cell>
          <cell r="AE13">
            <v>82</v>
          </cell>
          <cell r="AG13">
            <v>42</v>
          </cell>
          <cell r="AI13">
            <v>18</v>
          </cell>
        </row>
        <row r="14">
          <cell r="AA14">
            <v>2001</v>
          </cell>
          <cell r="AC14">
            <v>150</v>
          </cell>
          <cell r="AE14">
            <v>85</v>
          </cell>
          <cell r="AG14">
            <v>44</v>
          </cell>
          <cell r="AI14">
            <v>21</v>
          </cell>
        </row>
        <row r="15">
          <cell r="AA15">
            <v>2002</v>
          </cell>
          <cell r="AC15">
            <v>147</v>
          </cell>
          <cell r="AE15">
            <v>81</v>
          </cell>
          <cell r="AG15">
            <v>43</v>
          </cell>
          <cell r="AI15">
            <v>22</v>
          </cell>
        </row>
        <row r="16">
          <cell r="AA16">
            <v>2003</v>
          </cell>
          <cell r="AC16">
            <v>141</v>
          </cell>
          <cell r="AE16">
            <v>75</v>
          </cell>
          <cell r="AG16">
            <v>43</v>
          </cell>
          <cell r="AI16">
            <v>23</v>
          </cell>
        </row>
        <row r="17">
          <cell r="AA17">
            <v>2004</v>
          </cell>
          <cell r="AC17">
            <v>137</v>
          </cell>
          <cell r="AE17">
            <v>70</v>
          </cell>
          <cell r="AG17">
            <v>46</v>
          </cell>
          <cell r="AI17">
            <v>21</v>
          </cell>
        </row>
        <row r="18">
          <cell r="AA18">
            <v>2005</v>
          </cell>
          <cell r="AC18">
            <v>132</v>
          </cell>
          <cell r="AE18">
            <v>68</v>
          </cell>
          <cell r="AG18">
            <v>46</v>
          </cell>
          <cell r="AI18">
            <v>18</v>
          </cell>
        </row>
        <row r="19">
          <cell r="AA19">
            <v>2006</v>
          </cell>
          <cell r="AC19">
            <v>126</v>
          </cell>
          <cell r="AE19">
            <v>66</v>
          </cell>
          <cell r="AG19">
            <v>46</v>
          </cell>
          <cell r="AI19">
            <v>15</v>
          </cell>
        </row>
        <row r="20">
          <cell r="AA20">
            <v>2007</v>
          </cell>
          <cell r="AC20">
            <v>127</v>
          </cell>
          <cell r="AE20">
            <v>67</v>
          </cell>
          <cell r="AG20">
            <v>48</v>
          </cell>
          <cell r="AI20">
            <v>12</v>
          </cell>
        </row>
        <row r="21">
          <cell r="AA21">
            <v>2008</v>
          </cell>
          <cell r="AC21">
            <v>111</v>
          </cell>
          <cell r="AE21">
            <v>59</v>
          </cell>
          <cell r="AG21">
            <v>43</v>
          </cell>
          <cell r="AI21">
            <v>9</v>
          </cell>
        </row>
        <row r="22">
          <cell r="AA22">
            <v>2009</v>
          </cell>
          <cell r="AC22">
            <v>104</v>
          </cell>
          <cell r="AE22">
            <v>57</v>
          </cell>
          <cell r="AG22">
            <v>39</v>
          </cell>
          <cell r="AI22">
            <v>8</v>
          </cell>
        </row>
        <row r="51">
          <cell r="AA51">
            <v>1999</v>
          </cell>
          <cell r="AC51">
            <v>1882</v>
          </cell>
          <cell r="AE51">
            <v>513</v>
          </cell>
          <cell r="AG51">
            <v>560</v>
          </cell>
          <cell r="AI51">
            <v>809</v>
          </cell>
        </row>
        <row r="52">
          <cell r="AA52">
            <v>2000</v>
          </cell>
          <cell r="AC52">
            <v>1905</v>
          </cell>
          <cell r="AE52">
            <v>492</v>
          </cell>
          <cell r="AG52">
            <v>626</v>
          </cell>
          <cell r="AI52">
            <v>787</v>
          </cell>
        </row>
        <row r="53">
          <cell r="AA53">
            <v>2001</v>
          </cell>
          <cell r="AC53">
            <v>1838</v>
          </cell>
          <cell r="AE53">
            <v>501</v>
          </cell>
          <cell r="AG53">
            <v>572</v>
          </cell>
          <cell r="AI53">
            <v>765</v>
          </cell>
        </row>
        <row r="54">
          <cell r="AA54">
            <v>2002</v>
          </cell>
          <cell r="AC54">
            <v>1925</v>
          </cell>
          <cell r="AE54">
            <v>517</v>
          </cell>
          <cell r="AG54">
            <v>622</v>
          </cell>
          <cell r="AI54">
            <v>786</v>
          </cell>
        </row>
        <row r="55">
          <cell r="AA55">
            <v>2003</v>
          </cell>
          <cell r="AC55">
            <v>2001</v>
          </cell>
          <cell r="AE55">
            <v>509</v>
          </cell>
          <cell r="AG55">
            <v>634</v>
          </cell>
          <cell r="AI55">
            <v>858</v>
          </cell>
        </row>
        <row r="56">
          <cell r="AA56">
            <v>2004</v>
          </cell>
          <cell r="AC56">
            <v>2023</v>
          </cell>
          <cell r="AE56">
            <v>453</v>
          </cell>
          <cell r="AG56">
            <v>665</v>
          </cell>
          <cell r="AI56">
            <v>904</v>
          </cell>
        </row>
        <row r="57">
          <cell r="AA57">
            <v>2005</v>
          </cell>
          <cell r="AC57">
            <v>1895</v>
          </cell>
          <cell r="AE57">
            <v>423</v>
          </cell>
          <cell r="AG57">
            <v>637</v>
          </cell>
          <cell r="AI57">
            <v>835</v>
          </cell>
        </row>
        <row r="58">
          <cell r="AA58">
            <v>2006</v>
          </cell>
          <cell r="AC58">
            <v>1779</v>
          </cell>
          <cell r="AE58">
            <v>406</v>
          </cell>
          <cell r="AG58">
            <v>612</v>
          </cell>
          <cell r="AI58">
            <v>761</v>
          </cell>
        </row>
        <row r="59">
          <cell r="AA59">
            <v>2007</v>
          </cell>
          <cell r="AC59">
            <v>1733</v>
          </cell>
          <cell r="AE59">
            <v>405</v>
          </cell>
          <cell r="AG59">
            <v>599</v>
          </cell>
          <cell r="AI59">
            <v>728</v>
          </cell>
        </row>
        <row r="60">
          <cell r="AA60">
            <v>2008</v>
          </cell>
          <cell r="AC60">
            <v>1640</v>
          </cell>
          <cell r="AE60">
            <v>398</v>
          </cell>
          <cell r="AG60">
            <v>593</v>
          </cell>
          <cell r="AI60">
            <v>649</v>
          </cell>
        </row>
        <row r="61">
          <cell r="AA61">
            <v>2009</v>
          </cell>
          <cell r="AC61">
            <v>1693</v>
          </cell>
          <cell r="AE61">
            <v>415</v>
          </cell>
          <cell r="AG61">
            <v>619</v>
          </cell>
          <cell r="AI61">
            <v>659</v>
          </cell>
        </row>
      </sheetData>
      <sheetData sheetId="3"/>
      <sheetData sheetId="4" refreshError="1">
        <row r="5">
          <cell r="T5" t="str">
            <v>Offence group</v>
          </cell>
          <cell r="U5">
            <v>2005</v>
          </cell>
          <cell r="V5">
            <v>2006</v>
          </cell>
          <cell r="W5">
            <v>2007</v>
          </cell>
          <cell r="X5">
            <v>2008</v>
          </cell>
          <cell r="Y5">
            <v>2009</v>
          </cell>
        </row>
        <row r="6">
          <cell r="T6">
            <v>0</v>
          </cell>
          <cell r="U6" t="str">
            <v>Total number proceeded against (thousands)</v>
          </cell>
        </row>
        <row r="7">
          <cell r="T7" t="str">
            <v>Indictable offences</v>
          </cell>
        </row>
        <row r="8">
          <cell r="T8" t="str">
            <v>Violence against the person</v>
          </cell>
          <cell r="U8">
            <v>32.700000000000003</v>
          </cell>
          <cell r="V8">
            <v>32</v>
          </cell>
          <cell r="W8">
            <v>30.4</v>
          </cell>
          <cell r="X8">
            <v>28.8</v>
          </cell>
          <cell r="Y8">
            <v>28.6</v>
          </cell>
        </row>
        <row r="9">
          <cell r="T9" t="str">
            <v>Sexual offences</v>
          </cell>
          <cell r="U9">
            <v>2.1</v>
          </cell>
          <cell r="V9">
            <v>2</v>
          </cell>
          <cell r="W9">
            <v>2</v>
          </cell>
          <cell r="X9">
            <v>1.7</v>
          </cell>
          <cell r="Y9">
            <v>1.6</v>
          </cell>
        </row>
        <row r="10">
          <cell r="T10" t="str">
            <v>Burglary</v>
          </cell>
          <cell r="U10">
            <v>19.2</v>
          </cell>
          <cell r="V10">
            <v>19.100000000000001</v>
          </cell>
          <cell r="W10">
            <v>19.2</v>
          </cell>
          <cell r="X10">
            <v>18.2</v>
          </cell>
          <cell r="Y10">
            <v>16.7</v>
          </cell>
        </row>
        <row r="11">
          <cell r="T11" t="str">
            <v>Robbery</v>
          </cell>
          <cell r="U11">
            <v>3.2</v>
          </cell>
          <cell r="V11">
            <v>3.9</v>
          </cell>
          <cell r="W11">
            <v>4.3</v>
          </cell>
          <cell r="X11">
            <v>3.3</v>
          </cell>
          <cell r="Y11">
            <v>3.9</v>
          </cell>
        </row>
        <row r="12">
          <cell r="T12" t="str">
            <v>Theft and handling stolen goods</v>
          </cell>
          <cell r="U12">
            <v>102.5</v>
          </cell>
          <cell r="V12">
            <v>97.3</v>
          </cell>
          <cell r="W12">
            <v>103.6</v>
          </cell>
          <cell r="X12">
            <v>106.9</v>
          </cell>
          <cell r="Y12">
            <v>106.8</v>
          </cell>
        </row>
        <row r="13">
          <cell r="T13" t="str">
            <v>Fraud and forgery</v>
          </cell>
          <cell r="U13">
            <v>18.3</v>
          </cell>
          <cell r="V13">
            <v>17</v>
          </cell>
          <cell r="W13">
            <v>16</v>
          </cell>
          <cell r="X13">
            <v>14.4</v>
          </cell>
          <cell r="Y13">
            <v>14.8</v>
          </cell>
        </row>
        <row r="14">
          <cell r="T14" t="str">
            <v>Criminal damage</v>
          </cell>
          <cell r="U14">
            <v>11.1</v>
          </cell>
          <cell r="V14">
            <v>12.2</v>
          </cell>
          <cell r="W14">
            <v>11.9</v>
          </cell>
          <cell r="X14">
            <v>8.6</v>
          </cell>
          <cell r="Y14">
            <v>6.7</v>
          </cell>
        </row>
        <row r="15">
          <cell r="T15" t="str">
            <v>Drug offences</v>
          </cell>
          <cell r="U15">
            <v>32.1</v>
          </cell>
          <cell r="V15">
            <v>32.799999999999997</v>
          </cell>
          <cell r="W15">
            <v>36.5</v>
          </cell>
          <cell r="X15">
            <v>43.2</v>
          </cell>
          <cell r="Y15">
            <v>46.3</v>
          </cell>
        </row>
        <row r="16">
          <cell r="T16" t="str">
            <v>Other (ex. motoring offences)</v>
          </cell>
          <cell r="U16">
            <v>48.2</v>
          </cell>
          <cell r="V16">
            <v>44.5</v>
          </cell>
          <cell r="W16">
            <v>38.9</v>
          </cell>
          <cell r="X16">
            <v>32.1</v>
          </cell>
          <cell r="Y16">
            <v>37.700000000000003</v>
          </cell>
        </row>
        <row r="17">
          <cell r="T17" t="str">
            <v>Motoring offences</v>
          </cell>
          <cell r="U17">
            <v>3.3</v>
          </cell>
          <cell r="V17">
            <v>3.2</v>
          </cell>
          <cell r="W17">
            <v>3</v>
          </cell>
          <cell r="X17">
            <v>2.2999999999999998</v>
          </cell>
          <cell r="Y17">
            <v>2</v>
          </cell>
        </row>
        <row r="18">
          <cell r="T18" t="str">
            <v>All indictable offences</v>
          </cell>
          <cell r="U18">
            <v>272.7</v>
          </cell>
          <cell r="V18">
            <v>264</v>
          </cell>
          <cell r="W18">
            <v>265.7</v>
          </cell>
          <cell r="X18">
            <v>259.39999999999998</v>
          </cell>
          <cell r="Y18">
            <v>265.10000000000002</v>
          </cell>
        </row>
        <row r="19">
          <cell r="T19" t="str">
            <v>Summary offences</v>
          </cell>
        </row>
        <row r="20">
          <cell r="T20" t="str">
            <v>Offences (ex. motoring offences)</v>
          </cell>
          <cell r="U20">
            <v>520.5</v>
          </cell>
          <cell r="V20">
            <v>507.1</v>
          </cell>
          <cell r="W20">
            <v>502</v>
          </cell>
          <cell r="X20">
            <v>501.7</v>
          </cell>
          <cell r="Y20">
            <v>520.9</v>
          </cell>
        </row>
        <row r="21">
          <cell r="T21" t="str">
            <v>Motoring offences</v>
          </cell>
          <cell r="U21">
            <v>679</v>
          </cell>
          <cell r="V21">
            <v>631.79999999999995</v>
          </cell>
          <cell r="W21">
            <v>619.5</v>
          </cell>
          <cell r="X21">
            <v>560.1</v>
          </cell>
          <cell r="Y21">
            <v>571.9</v>
          </cell>
        </row>
        <row r="22">
          <cell r="T22" t="str">
            <v>All summary offences</v>
          </cell>
          <cell r="U22">
            <v>1199.4000000000001</v>
          </cell>
          <cell r="V22">
            <v>1138.9000000000001</v>
          </cell>
          <cell r="W22">
            <v>1121.5</v>
          </cell>
          <cell r="X22">
            <v>1061.8</v>
          </cell>
          <cell r="Y22">
            <v>1092.8</v>
          </cell>
        </row>
        <row r="23">
          <cell r="T23" t="str">
            <v xml:space="preserve">                                                              </v>
          </cell>
        </row>
        <row r="24">
          <cell r="T24" t="str">
            <v>All offences</v>
          </cell>
          <cell r="U24">
            <v>1472.1</v>
          </cell>
          <cell r="V24">
            <v>1402.9</v>
          </cell>
          <cell r="W24">
            <v>1387.2</v>
          </cell>
          <cell r="X24">
            <v>1321.2</v>
          </cell>
          <cell r="Y24">
            <v>1357.9</v>
          </cell>
        </row>
        <row r="25">
          <cell r="T25" t="str">
            <v xml:space="preserve">                                                                            </v>
          </cell>
        </row>
        <row r="27">
          <cell r="T27">
            <v>2009</v>
          </cell>
          <cell r="U27">
            <v>2005</v>
          </cell>
          <cell r="V27">
            <v>2006</v>
          </cell>
          <cell r="W27">
            <v>2007</v>
          </cell>
          <cell r="X27">
            <v>2008</v>
          </cell>
          <cell r="Y27">
            <v>2009</v>
          </cell>
        </row>
        <row r="28">
          <cell r="T28" t="str">
            <v>Indictable offences</v>
          </cell>
        </row>
        <row r="29">
          <cell r="T29" t="str">
            <v>Violence against the person</v>
          </cell>
          <cell r="U29">
            <v>27.1</v>
          </cell>
          <cell r="V29">
            <v>27.9</v>
          </cell>
          <cell r="W29">
            <v>27.1</v>
          </cell>
          <cell r="X29">
            <v>26.3</v>
          </cell>
          <cell r="Y29">
            <v>26</v>
          </cell>
        </row>
        <row r="30">
          <cell r="T30" t="str">
            <v>Sexual offences</v>
          </cell>
          <cell r="U30">
            <v>1.7</v>
          </cell>
          <cell r="V30">
            <v>1.6</v>
          </cell>
          <cell r="W30">
            <v>1.7</v>
          </cell>
          <cell r="X30">
            <v>1.5</v>
          </cell>
          <cell r="Y30">
            <v>1.4</v>
          </cell>
        </row>
        <row r="31">
          <cell r="T31" t="str">
            <v>Burglary</v>
          </cell>
          <cell r="U31">
            <v>17.399999999999999</v>
          </cell>
          <cell r="V31">
            <v>17.7</v>
          </cell>
          <cell r="W31">
            <v>18</v>
          </cell>
          <cell r="X31">
            <v>17.2</v>
          </cell>
          <cell r="Y31">
            <v>15.8</v>
          </cell>
        </row>
        <row r="32">
          <cell r="T32" t="str">
            <v>Robbery</v>
          </cell>
          <cell r="U32">
            <v>2.2999999999999998</v>
          </cell>
          <cell r="V32">
            <v>3</v>
          </cell>
          <cell r="W32">
            <v>3.5</v>
          </cell>
          <cell r="X32">
            <v>2.9</v>
          </cell>
          <cell r="Y32">
            <v>2.9</v>
          </cell>
        </row>
        <row r="33">
          <cell r="T33" t="str">
            <v>Theft and handling stolen goods</v>
          </cell>
          <cell r="U33">
            <v>98.5</v>
          </cell>
          <cell r="V33">
            <v>93.9</v>
          </cell>
          <cell r="W33">
            <v>100.5</v>
          </cell>
          <cell r="X33">
            <v>104.8</v>
          </cell>
          <cell r="Y33">
            <v>105.1</v>
          </cell>
        </row>
        <row r="34">
          <cell r="T34" t="str">
            <v>Fraud and forgery</v>
          </cell>
          <cell r="U34">
            <v>17.399999999999999</v>
          </cell>
          <cell r="V34">
            <v>16.100000000000001</v>
          </cell>
          <cell r="W34">
            <v>15.3</v>
          </cell>
          <cell r="X34">
            <v>13.8</v>
          </cell>
          <cell r="Y34">
            <v>14.3</v>
          </cell>
        </row>
        <row r="35">
          <cell r="T35" t="str">
            <v>Criminal damage</v>
          </cell>
          <cell r="U35">
            <v>10.3</v>
          </cell>
          <cell r="V35">
            <v>11.3</v>
          </cell>
          <cell r="W35">
            <v>11.2</v>
          </cell>
          <cell r="X35">
            <v>8.1999999999999993</v>
          </cell>
          <cell r="Y35">
            <v>6.4</v>
          </cell>
        </row>
        <row r="36">
          <cell r="T36" t="str">
            <v>Drug offences</v>
          </cell>
          <cell r="U36">
            <v>31.2</v>
          </cell>
          <cell r="V36">
            <v>32</v>
          </cell>
          <cell r="W36">
            <v>35.700000000000003</v>
          </cell>
          <cell r="X36">
            <v>42.5</v>
          </cell>
          <cell r="Y36">
            <v>45.6</v>
          </cell>
        </row>
        <row r="37">
          <cell r="T37" t="str">
            <v>Other (ex. motoring offences)</v>
          </cell>
          <cell r="U37">
            <v>43.9</v>
          </cell>
          <cell r="V37">
            <v>41.1</v>
          </cell>
          <cell r="W37">
            <v>36.1</v>
          </cell>
          <cell r="X37">
            <v>30.2</v>
          </cell>
          <cell r="Y37">
            <v>36.200000000000003</v>
          </cell>
        </row>
        <row r="38">
          <cell r="T38" t="str">
            <v>Motoring offences</v>
          </cell>
          <cell r="U38">
            <v>3.2</v>
          </cell>
          <cell r="V38">
            <v>3.1</v>
          </cell>
          <cell r="W38">
            <v>2.9</v>
          </cell>
          <cell r="X38">
            <v>2.2000000000000002</v>
          </cell>
          <cell r="Y38">
            <v>2</v>
          </cell>
        </row>
        <row r="39">
          <cell r="T39" t="str">
            <v>All indictable offences</v>
          </cell>
          <cell r="U39">
            <v>252.9</v>
          </cell>
          <cell r="V39">
            <v>247.6</v>
          </cell>
          <cell r="W39">
            <v>251.9</v>
          </cell>
          <cell r="X39">
            <v>249.6</v>
          </cell>
          <cell r="Y39">
            <v>255.5</v>
          </cell>
        </row>
        <row r="40">
          <cell r="T40" t="str">
            <v>Summary offences</v>
          </cell>
        </row>
        <row r="41">
          <cell r="T41" t="str">
            <v>Offences (ex. motoring offences)</v>
          </cell>
          <cell r="U41">
            <v>506.6</v>
          </cell>
          <cell r="V41">
            <v>493.2</v>
          </cell>
          <cell r="W41">
            <v>488.7</v>
          </cell>
          <cell r="X41">
            <v>491.2</v>
          </cell>
          <cell r="Y41">
            <v>511</v>
          </cell>
        </row>
        <row r="42">
          <cell r="T42" t="str">
            <v>Motoring offences</v>
          </cell>
          <cell r="U42">
            <v>666.6</v>
          </cell>
          <cell r="V42">
            <v>622.1</v>
          </cell>
          <cell r="W42">
            <v>610.5</v>
          </cell>
          <cell r="X42">
            <v>551.70000000000005</v>
          </cell>
          <cell r="Y42">
            <v>563.70000000000005</v>
          </cell>
        </row>
        <row r="43">
          <cell r="T43" t="str">
            <v>All summary offences</v>
          </cell>
          <cell r="U43">
            <v>1173.3</v>
          </cell>
          <cell r="V43">
            <v>1115.3</v>
          </cell>
          <cell r="W43">
            <v>1099.2</v>
          </cell>
          <cell r="X43">
            <v>1042.9000000000001</v>
          </cell>
          <cell r="Y43">
            <v>1074.7</v>
          </cell>
        </row>
        <row r="44">
          <cell r="T44" t="str">
            <v xml:space="preserve">                                                              </v>
          </cell>
        </row>
        <row r="45">
          <cell r="T45" t="str">
            <v>All offences</v>
          </cell>
          <cell r="U45">
            <v>1426.1</v>
          </cell>
          <cell r="V45">
            <v>1362.9</v>
          </cell>
          <cell r="W45">
            <v>1351.1</v>
          </cell>
          <cell r="X45">
            <v>1292.5</v>
          </cell>
          <cell r="Y45">
            <v>1330.2</v>
          </cell>
        </row>
      </sheetData>
      <sheetData sheetId="5" refreshError="1">
        <row r="5">
          <cell r="P5" t="str">
            <v>Offence group</v>
          </cell>
          <cell r="Q5">
            <v>2005</v>
          </cell>
          <cell r="R5">
            <v>2006</v>
          </cell>
          <cell r="S5">
            <v>2007</v>
          </cell>
          <cell r="T5">
            <v>2008</v>
          </cell>
          <cell r="U5">
            <v>2009</v>
          </cell>
        </row>
        <row r="6">
          <cell r="P6">
            <v>0</v>
          </cell>
          <cell r="Q6" t="str">
            <v>Total number tried (thousands)</v>
          </cell>
          <cell r="R6">
            <v>0</v>
          </cell>
          <cell r="S6" t="str">
            <v>Total number tried (thousands)</v>
          </cell>
        </row>
        <row r="7">
          <cell r="P7" t="str">
            <v>Indictable offences</v>
          </cell>
          <cell r="R7" t="str">
            <v>Indictable offences</v>
          </cell>
        </row>
        <row r="8">
          <cell r="P8" t="str">
            <v>Violence against the person</v>
          </cell>
          <cell r="Q8">
            <v>19.600000000000001</v>
          </cell>
          <cell r="R8">
            <v>20</v>
          </cell>
          <cell r="S8">
            <v>20.7</v>
          </cell>
          <cell r="T8">
            <v>20.9</v>
          </cell>
          <cell r="U8">
            <v>23.9</v>
          </cell>
        </row>
        <row r="9">
          <cell r="P9" t="str">
            <v>Sexual offences</v>
          </cell>
          <cell r="Q9">
            <v>5.6</v>
          </cell>
          <cell r="R9">
            <v>5.8</v>
          </cell>
          <cell r="S9">
            <v>5.8</v>
          </cell>
          <cell r="T9">
            <v>5.9</v>
          </cell>
          <cell r="U9">
            <v>6.2</v>
          </cell>
        </row>
        <row r="10">
          <cell r="P10" t="str">
            <v>Burglary</v>
          </cell>
          <cell r="Q10">
            <v>6.6</v>
          </cell>
          <cell r="R10">
            <v>6.3</v>
          </cell>
          <cell r="S10">
            <v>6.9</v>
          </cell>
          <cell r="T10">
            <v>7.7</v>
          </cell>
          <cell r="U10">
            <v>8.3000000000000007</v>
          </cell>
        </row>
        <row r="11">
          <cell r="P11" t="str">
            <v>Robbery</v>
          </cell>
          <cell r="Q11">
            <v>6.2</v>
          </cell>
          <cell r="R11">
            <v>6.6</v>
          </cell>
          <cell r="S11">
            <v>6.9</v>
          </cell>
          <cell r="T11">
            <v>7.1</v>
          </cell>
          <cell r="U11">
            <v>7.2</v>
          </cell>
        </row>
        <row r="12">
          <cell r="P12" t="str">
            <v>Theft and handling stolen goods</v>
          </cell>
          <cell r="Q12">
            <v>6.6</v>
          </cell>
          <cell r="R12">
            <v>6.6</v>
          </cell>
          <cell r="S12">
            <v>7</v>
          </cell>
          <cell r="T12">
            <v>7.7</v>
          </cell>
          <cell r="U12">
            <v>8.5</v>
          </cell>
        </row>
        <row r="13">
          <cell r="P13" t="str">
            <v>Fraud and forgery</v>
          </cell>
          <cell r="Q13">
            <v>3.6</v>
          </cell>
          <cell r="R13">
            <v>4.3</v>
          </cell>
          <cell r="S13">
            <v>6.5</v>
          </cell>
          <cell r="T13">
            <v>7.6</v>
          </cell>
          <cell r="U13">
            <v>7.7</v>
          </cell>
        </row>
        <row r="14">
          <cell r="P14" t="str">
            <v>Criminal damage</v>
          </cell>
          <cell r="Q14">
            <v>2</v>
          </cell>
          <cell r="R14">
            <v>1.8</v>
          </cell>
          <cell r="S14">
            <v>1.8</v>
          </cell>
          <cell r="T14">
            <v>1.8</v>
          </cell>
          <cell r="U14">
            <v>1.9</v>
          </cell>
        </row>
        <row r="15">
          <cell r="P15" t="str">
            <v>Drug offences</v>
          </cell>
          <cell r="Q15">
            <v>8.9</v>
          </cell>
          <cell r="R15">
            <v>8.4</v>
          </cell>
          <cell r="S15">
            <v>9.8000000000000007</v>
          </cell>
          <cell r="T15">
            <v>11.4</v>
          </cell>
          <cell r="U15">
            <v>12.3</v>
          </cell>
        </row>
        <row r="16">
          <cell r="P16" t="str">
            <v>Other (ex. motoring offences)</v>
          </cell>
          <cell r="Q16">
            <v>11.6</v>
          </cell>
          <cell r="R16">
            <v>11.4</v>
          </cell>
          <cell r="S16">
            <v>11.7</v>
          </cell>
          <cell r="T16">
            <v>12.1</v>
          </cell>
          <cell r="U16">
            <v>14.1</v>
          </cell>
        </row>
        <row r="17">
          <cell r="P17" t="str">
            <v>Motoring offences</v>
          </cell>
          <cell r="Q17">
            <v>1.7</v>
          </cell>
          <cell r="R17">
            <v>1.5</v>
          </cell>
          <cell r="S17">
            <v>1.6</v>
          </cell>
          <cell r="T17">
            <v>1.7</v>
          </cell>
          <cell r="U17">
            <v>1.8</v>
          </cell>
        </row>
        <row r="18">
          <cell r="P18" t="str">
            <v>All indictable offences</v>
          </cell>
          <cell r="Q18">
            <v>72.3</v>
          </cell>
          <cell r="R18">
            <v>72.7</v>
          </cell>
          <cell r="S18">
            <v>78.599999999999994</v>
          </cell>
          <cell r="T18">
            <v>83.9</v>
          </cell>
          <cell r="U18">
            <v>91.9</v>
          </cell>
        </row>
        <row r="20">
          <cell r="P20" t="str">
            <v>Summary offences</v>
          </cell>
          <cell r="R20" t="str">
            <v>Summary offences</v>
          </cell>
        </row>
        <row r="21">
          <cell r="P21" t="str">
            <v>Offences (ex. motoring offences)</v>
          </cell>
          <cell r="Q21">
            <v>2.2999999999999998</v>
          </cell>
          <cell r="R21">
            <v>2.6</v>
          </cell>
          <cell r="S21">
            <v>2.9</v>
          </cell>
          <cell r="T21">
            <v>3</v>
          </cell>
          <cell r="U21">
            <v>3.5</v>
          </cell>
        </row>
        <row r="22">
          <cell r="P22" t="str">
            <v>Motoring offences</v>
          </cell>
          <cell r="Q22">
            <v>0.5</v>
          </cell>
          <cell r="R22">
            <v>0.4</v>
          </cell>
          <cell r="S22">
            <v>0.6</v>
          </cell>
          <cell r="T22">
            <v>0.5</v>
          </cell>
          <cell r="U22">
            <v>0.5</v>
          </cell>
        </row>
        <row r="23">
          <cell r="P23" t="str">
            <v>All summary offences</v>
          </cell>
          <cell r="Q23">
            <v>2.8</v>
          </cell>
          <cell r="R23">
            <v>3</v>
          </cell>
          <cell r="S23">
            <v>3.5</v>
          </cell>
          <cell r="T23">
            <v>3.6</v>
          </cell>
          <cell r="U23">
            <v>4</v>
          </cell>
        </row>
      </sheetData>
      <sheetData sheetId="6" refreshError="1">
        <row r="75">
          <cell r="B75">
            <v>2000</v>
          </cell>
          <cell r="C75">
            <v>2001</v>
          </cell>
          <cell r="D75">
            <v>2002</v>
          </cell>
          <cell r="E75">
            <v>2003</v>
          </cell>
          <cell r="F75">
            <v>2004</v>
          </cell>
          <cell r="G75">
            <v>2005</v>
          </cell>
          <cell r="H75">
            <v>2006</v>
          </cell>
          <cell r="I75">
            <v>2007</v>
          </cell>
          <cell r="J75">
            <v>2008</v>
          </cell>
          <cell r="K75">
            <v>2009</v>
          </cell>
          <cell r="L75">
            <v>2010</v>
          </cell>
        </row>
        <row r="76">
          <cell r="B76" t="str">
            <v>Multiples of Persons</v>
          </cell>
          <cell r="C76" t="str">
            <v>Multiples of Persons</v>
          </cell>
          <cell r="D76" t="str">
            <v>Multiples of Persons</v>
          </cell>
          <cell r="E76" t="str">
            <v>Multiples of Persons</v>
          </cell>
          <cell r="F76" t="str">
            <v>Multiples of Persons</v>
          </cell>
          <cell r="G76" t="str">
            <v>Multiples of Persons</v>
          </cell>
          <cell r="H76" t="str">
            <v>Multiples of Persons</v>
          </cell>
          <cell r="I76" t="str">
            <v>Multiples of Persons</v>
          </cell>
          <cell r="J76" t="str">
            <v>Multiples of Persons</v>
          </cell>
          <cell r="K76" t="str">
            <v>Multiples of Persons</v>
          </cell>
          <cell r="L76" t="str">
            <v>Multiples of Persons</v>
          </cell>
          <cell r="M76" t="str">
            <v>Multiples of Persons</v>
          </cell>
        </row>
        <row r="77">
          <cell r="B77" t="str">
            <v>Sum</v>
          </cell>
          <cell r="C77" t="str">
            <v>Sum</v>
          </cell>
          <cell r="D77" t="str">
            <v>Sum</v>
          </cell>
          <cell r="E77" t="str">
            <v>Sum</v>
          </cell>
          <cell r="F77" t="str">
            <v>Sum</v>
          </cell>
          <cell r="G77" t="str">
            <v>Sum</v>
          </cell>
          <cell r="H77" t="str">
            <v>Sum</v>
          </cell>
          <cell r="I77" t="str">
            <v>Sum</v>
          </cell>
          <cell r="J77" t="str">
            <v>Sum</v>
          </cell>
          <cell r="K77" t="str">
            <v>Sum</v>
          </cell>
          <cell r="L77" t="str">
            <v>Sum</v>
          </cell>
          <cell r="M77" t="str">
            <v>Sum</v>
          </cell>
        </row>
        <row r="78">
          <cell r="A78" t="str">
            <v>offtyp</v>
          </cell>
        </row>
        <row r="79">
          <cell r="A79" t="str">
            <v>Violence against the person</v>
          </cell>
          <cell r="B79">
            <v>31789</v>
          </cell>
          <cell r="C79">
            <v>31754</v>
          </cell>
          <cell r="D79">
            <v>32794</v>
          </cell>
          <cell r="E79">
            <v>32741</v>
          </cell>
          <cell r="F79">
            <v>32079</v>
          </cell>
          <cell r="G79">
            <v>32671</v>
          </cell>
          <cell r="H79">
            <v>32009</v>
          </cell>
          <cell r="I79">
            <v>30412</v>
          </cell>
          <cell r="J79">
            <v>28765</v>
          </cell>
          <cell r="K79">
            <v>28595</v>
          </cell>
          <cell r="L79">
            <v>28440</v>
          </cell>
          <cell r="M79">
            <v>342049</v>
          </cell>
        </row>
        <row r="80">
          <cell r="A80" t="str">
            <v>Sexual offences</v>
          </cell>
          <cell r="B80">
            <v>1895</v>
          </cell>
          <cell r="C80">
            <v>1963</v>
          </cell>
          <cell r="D80">
            <v>2121</v>
          </cell>
          <cell r="E80">
            <v>2156</v>
          </cell>
          <cell r="F80">
            <v>2219</v>
          </cell>
          <cell r="G80">
            <v>2146</v>
          </cell>
          <cell r="H80">
            <v>2027</v>
          </cell>
          <cell r="I80">
            <v>1978</v>
          </cell>
          <cell r="J80">
            <v>1702</v>
          </cell>
          <cell r="K80">
            <v>1623</v>
          </cell>
          <cell r="L80">
            <v>1972</v>
          </cell>
          <cell r="M80">
            <v>21802</v>
          </cell>
        </row>
        <row r="81">
          <cell r="A81" t="str">
            <v>Burglary</v>
          </cell>
          <cell r="B81">
            <v>21895</v>
          </cell>
          <cell r="C81">
            <v>21615</v>
          </cell>
          <cell r="D81">
            <v>22858</v>
          </cell>
          <cell r="E81">
            <v>22256</v>
          </cell>
          <cell r="F81">
            <v>20085</v>
          </cell>
          <cell r="G81">
            <v>19154</v>
          </cell>
          <cell r="H81">
            <v>19093</v>
          </cell>
          <cell r="I81">
            <v>19217</v>
          </cell>
          <cell r="J81">
            <v>18207</v>
          </cell>
          <cell r="K81">
            <v>16674</v>
          </cell>
          <cell r="L81">
            <v>16834</v>
          </cell>
          <cell r="M81">
            <v>217888</v>
          </cell>
        </row>
        <row r="82">
          <cell r="A82" t="str">
            <v>Robbery</v>
          </cell>
          <cell r="B82">
            <v>3243</v>
          </cell>
          <cell r="C82">
            <v>3721</v>
          </cell>
          <cell r="D82">
            <v>2913</v>
          </cell>
          <cell r="E82">
            <v>2727</v>
          </cell>
          <cell r="F82">
            <v>2962</v>
          </cell>
          <cell r="G82">
            <v>3160</v>
          </cell>
          <cell r="H82">
            <v>3892</v>
          </cell>
          <cell r="I82">
            <v>4285</v>
          </cell>
          <cell r="J82">
            <v>3259</v>
          </cell>
          <cell r="K82">
            <v>3894</v>
          </cell>
          <cell r="L82">
            <v>3918</v>
          </cell>
          <cell r="M82">
            <v>37974</v>
          </cell>
        </row>
        <row r="83">
          <cell r="A83" t="str">
            <v>Theft and handling stolen goods</v>
          </cell>
          <cell r="B83">
            <v>128143</v>
          </cell>
          <cell r="C83">
            <v>127856</v>
          </cell>
          <cell r="D83">
            <v>128123</v>
          </cell>
          <cell r="E83">
            <v>119268</v>
          </cell>
          <cell r="F83">
            <v>109459</v>
          </cell>
          <cell r="G83">
            <v>102458</v>
          </cell>
          <cell r="H83">
            <v>97306</v>
          </cell>
          <cell r="I83">
            <v>103638</v>
          </cell>
          <cell r="J83">
            <v>106860</v>
          </cell>
          <cell r="K83">
            <v>106925</v>
          </cell>
          <cell r="L83">
            <v>115751</v>
          </cell>
          <cell r="M83">
            <v>1245787</v>
          </cell>
        </row>
        <row r="84">
          <cell r="A84" t="str">
            <v>Fraud and forgery</v>
          </cell>
          <cell r="B84">
            <v>21672</v>
          </cell>
          <cell r="C84">
            <v>20807</v>
          </cell>
          <cell r="D84">
            <v>20310</v>
          </cell>
          <cell r="E84">
            <v>20098</v>
          </cell>
          <cell r="F84">
            <v>19116</v>
          </cell>
          <cell r="G84">
            <v>18296</v>
          </cell>
          <cell r="H84">
            <v>16965</v>
          </cell>
          <cell r="I84">
            <v>16000</v>
          </cell>
          <cell r="J84">
            <v>14370</v>
          </cell>
          <cell r="K84">
            <v>14829</v>
          </cell>
          <cell r="L84">
            <v>14846</v>
          </cell>
          <cell r="M84">
            <v>197309</v>
          </cell>
        </row>
        <row r="85">
          <cell r="A85" t="str">
            <v>Criminal damage</v>
          </cell>
          <cell r="B85">
            <v>10080</v>
          </cell>
          <cell r="C85">
            <v>10512</v>
          </cell>
          <cell r="D85">
            <v>10791</v>
          </cell>
          <cell r="E85">
            <v>10928</v>
          </cell>
          <cell r="F85">
            <v>11100</v>
          </cell>
          <cell r="G85">
            <v>11124</v>
          </cell>
          <cell r="H85">
            <v>12150</v>
          </cell>
          <cell r="I85">
            <v>11865</v>
          </cell>
          <cell r="J85">
            <v>8633</v>
          </cell>
          <cell r="K85">
            <v>6681</v>
          </cell>
          <cell r="L85">
            <v>6546</v>
          </cell>
          <cell r="M85">
            <v>110410</v>
          </cell>
        </row>
        <row r="86">
          <cell r="A86" t="str">
            <v>Drug offences</v>
          </cell>
          <cell r="B86">
            <v>38068</v>
          </cell>
          <cell r="C86">
            <v>39250</v>
          </cell>
          <cell r="D86">
            <v>42972</v>
          </cell>
          <cell r="E86">
            <v>44578</v>
          </cell>
          <cell r="F86">
            <v>32028</v>
          </cell>
          <cell r="G86">
            <v>32125</v>
          </cell>
          <cell r="H86">
            <v>32844</v>
          </cell>
          <cell r="I86">
            <v>36484</v>
          </cell>
          <cell r="J86">
            <v>43200</v>
          </cell>
          <cell r="K86">
            <v>46316</v>
          </cell>
          <cell r="L86">
            <v>50121</v>
          </cell>
          <cell r="M86">
            <v>437986</v>
          </cell>
        </row>
        <row r="87">
          <cell r="A87" t="str">
            <v>Other (ex. motoring offences)</v>
          </cell>
          <cell r="B87">
            <v>42776</v>
          </cell>
          <cell r="C87">
            <v>42661</v>
          </cell>
          <cell r="D87">
            <v>46413</v>
          </cell>
          <cell r="E87">
            <v>49097</v>
          </cell>
          <cell r="F87">
            <v>50378</v>
          </cell>
          <cell r="G87">
            <v>48192</v>
          </cell>
          <cell r="H87">
            <v>44527</v>
          </cell>
          <cell r="I87">
            <v>38874</v>
          </cell>
          <cell r="J87">
            <v>32135</v>
          </cell>
          <cell r="K87">
            <v>37734</v>
          </cell>
          <cell r="L87">
            <v>40309</v>
          </cell>
          <cell r="M87">
            <v>473096</v>
          </cell>
        </row>
        <row r="88">
          <cell r="A88" t="str">
            <v>Motoring offences ind</v>
          </cell>
          <cell r="B88">
            <v>3223</v>
          </cell>
          <cell r="C88">
            <v>3279</v>
          </cell>
          <cell r="D88">
            <v>3746</v>
          </cell>
          <cell r="E88">
            <v>4148</v>
          </cell>
          <cell r="F88">
            <v>3880</v>
          </cell>
          <cell r="G88">
            <v>3330</v>
          </cell>
          <cell r="H88">
            <v>3200</v>
          </cell>
          <cell r="I88">
            <v>2970</v>
          </cell>
          <cell r="J88">
            <v>2302</v>
          </cell>
          <cell r="K88">
            <v>2044</v>
          </cell>
          <cell r="L88">
            <v>1793</v>
          </cell>
          <cell r="M88">
            <v>33915</v>
          </cell>
        </row>
        <row r="89">
          <cell r="A89" t="str">
            <v>All indictable offences</v>
          </cell>
          <cell r="B89">
            <v>302784</v>
          </cell>
          <cell r="C89">
            <v>303418</v>
          </cell>
          <cell r="D89">
            <v>313041</v>
          </cell>
          <cell r="E89">
            <v>307997</v>
          </cell>
          <cell r="F89">
            <v>283306</v>
          </cell>
          <cell r="G89">
            <v>272656</v>
          </cell>
          <cell r="H89">
            <v>264013</v>
          </cell>
          <cell r="I89">
            <v>265723</v>
          </cell>
          <cell r="J89">
            <v>259433</v>
          </cell>
          <cell r="K89">
            <v>265315</v>
          </cell>
          <cell r="L89">
            <v>280530</v>
          </cell>
          <cell r="M89">
            <v>3118216</v>
          </cell>
        </row>
        <row r="90">
          <cell r="A90" t="str">
            <v>Offences (ex. motoring offences)</v>
          </cell>
          <cell r="B90">
            <v>500620</v>
          </cell>
          <cell r="C90">
            <v>451529</v>
          </cell>
          <cell r="D90">
            <v>497129.3</v>
          </cell>
          <cell r="E90">
            <v>502423</v>
          </cell>
          <cell r="F90">
            <v>532522</v>
          </cell>
          <cell r="G90">
            <v>520455</v>
          </cell>
          <cell r="H90">
            <v>507129</v>
          </cell>
          <cell r="I90">
            <v>501955</v>
          </cell>
          <cell r="J90">
            <v>501740</v>
          </cell>
          <cell r="K90">
            <v>521238</v>
          </cell>
          <cell r="L90">
            <v>499502</v>
          </cell>
          <cell r="M90">
            <v>5536242.2999999998</v>
          </cell>
        </row>
        <row r="91">
          <cell r="A91" t="str">
            <v xml:space="preserve">Motoring offences   </v>
          </cell>
          <cell r="B91">
            <v>619693</v>
          </cell>
          <cell r="C91">
            <v>595979</v>
          </cell>
          <cell r="D91">
            <v>607669</v>
          </cell>
          <cell r="E91">
            <v>673697</v>
          </cell>
          <cell r="F91">
            <v>720034</v>
          </cell>
          <cell r="G91">
            <v>678969</v>
          </cell>
          <cell r="H91">
            <v>631771</v>
          </cell>
          <cell r="I91">
            <v>619535</v>
          </cell>
          <cell r="J91">
            <v>560063</v>
          </cell>
          <cell r="K91">
            <v>572319</v>
          </cell>
          <cell r="L91">
            <v>531194</v>
          </cell>
          <cell r="M91">
            <v>6810923</v>
          </cell>
        </row>
        <row r="92">
          <cell r="A92" t="str">
            <v>All summary offences</v>
          </cell>
          <cell r="B92">
            <v>1120313</v>
          </cell>
          <cell r="C92">
            <v>1047508</v>
          </cell>
          <cell r="D92">
            <v>1104798.3</v>
          </cell>
          <cell r="E92">
            <v>1176120</v>
          </cell>
          <cell r="F92">
            <v>1252556</v>
          </cell>
          <cell r="G92">
            <v>1199424</v>
          </cell>
          <cell r="H92">
            <v>1138900</v>
          </cell>
          <cell r="I92">
            <v>1121490</v>
          </cell>
          <cell r="J92">
            <v>1061803</v>
          </cell>
          <cell r="K92">
            <v>1093557</v>
          </cell>
          <cell r="L92">
            <v>1030696</v>
          </cell>
          <cell r="M92">
            <v>12347165.300000001</v>
          </cell>
        </row>
        <row r="93">
          <cell r="A93" t="str">
            <v>All offences</v>
          </cell>
          <cell r="B93">
            <v>1423097</v>
          </cell>
          <cell r="C93">
            <v>1350926</v>
          </cell>
          <cell r="D93">
            <v>1417839.3</v>
          </cell>
          <cell r="E93">
            <v>1484117</v>
          </cell>
          <cell r="F93">
            <v>1535862</v>
          </cell>
          <cell r="G93">
            <v>1472080</v>
          </cell>
          <cell r="H93">
            <v>1402913</v>
          </cell>
          <cell r="I93">
            <v>1387213</v>
          </cell>
          <cell r="J93">
            <v>1321236</v>
          </cell>
          <cell r="K93">
            <v>1358872</v>
          </cell>
          <cell r="L93">
            <v>1311226</v>
          </cell>
          <cell r="M93">
            <v>15465381.300000001</v>
          </cell>
        </row>
        <row r="94">
          <cell r="A94" t="str">
            <v>Generated by the SAS System</v>
          </cell>
        </row>
      </sheetData>
      <sheetData sheetId="7"/>
      <sheetData sheetId="8"/>
      <sheetData sheetId="9"/>
      <sheetData sheetId="10"/>
      <sheetData sheetId="11"/>
      <sheetData sheetId="12"/>
      <sheetData sheetId="13"/>
      <sheetData sheetId="14"/>
      <sheetData sheetId="15"/>
      <sheetData sheetId="16">
        <row r="12">
          <cell r="AA12">
            <v>1999</v>
          </cell>
        </row>
      </sheetData>
      <sheetData sheetId="17"/>
      <sheetData sheetId="18">
        <row r="5">
          <cell r="T5" t="str">
            <v>Offence group</v>
          </cell>
        </row>
      </sheetData>
      <sheetData sheetId="19">
        <row r="5">
          <cell r="P5" t="str">
            <v>Offence group</v>
          </cell>
        </row>
      </sheetData>
      <sheetData sheetId="20">
        <row r="75">
          <cell r="B75">
            <v>2000</v>
          </cell>
        </row>
      </sheetData>
      <sheetData sheetId="21"/>
      <sheetData sheetId="22"/>
      <sheetData sheetId="23"/>
      <sheetData sheetId="24"/>
      <sheetData sheetId="25"/>
      <sheetData sheetId="26"/>
      <sheetData sheetId="27"/>
      <sheetData sheetId="28"/>
      <sheetData sheetId="29">
        <row r="12">
          <cell r="AA12">
            <v>1999</v>
          </cell>
        </row>
      </sheetData>
      <sheetData sheetId="30"/>
      <sheetData sheetId="31">
        <row r="5">
          <cell r="T5" t="str">
            <v>Offence group</v>
          </cell>
        </row>
      </sheetData>
      <sheetData sheetId="32">
        <row r="5">
          <cell r="P5" t="str">
            <v>Offence group</v>
          </cell>
        </row>
      </sheetData>
      <sheetData sheetId="33">
        <row r="75">
          <cell r="B75">
            <v>2000</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nual confirmation"/>
      <sheetName val="2007_8-2010_11"/>
      <sheetName val="Instructions"/>
      <sheetName val="Apr-Jun 2011"/>
      <sheetName val="Apr-Jun 2011 inc %"/>
      <sheetName val="Jul-Sep 2011"/>
      <sheetName val="Jul-Sep 2011 inc %"/>
      <sheetName val="Oct-Dec 2011"/>
      <sheetName val="Oct-Dec 2011 inc %"/>
      <sheetName val="Jan-Mar 2012"/>
      <sheetName val="Jan-Mar 2012 inc %"/>
      <sheetName val="2011_12"/>
      <sheetName val="2011_12 inc %"/>
      <sheetName val="Additional notes"/>
    </sheetNames>
    <sheetDataSet>
      <sheetData sheetId="0"/>
      <sheetData sheetId="1"/>
      <sheetData sheetId="2"/>
      <sheetData sheetId="3" refreshError="1">
        <row r="5">
          <cell r="A5" t="str">
            <v>Avon &amp; Somerset</v>
          </cell>
        </row>
        <row r="6">
          <cell r="A6" t="str">
            <v>Bedfordshire</v>
          </cell>
        </row>
        <row r="7">
          <cell r="A7" t="str">
            <v>Cambridgeshire</v>
          </cell>
        </row>
        <row r="8">
          <cell r="A8" t="str">
            <v>Cheshire</v>
          </cell>
        </row>
        <row r="9">
          <cell r="A9" t="str">
            <v>Cleveland</v>
          </cell>
        </row>
        <row r="10">
          <cell r="A10" t="str">
            <v>Cumbria</v>
          </cell>
        </row>
        <row r="11">
          <cell r="A11" t="str">
            <v>Derbyshire</v>
          </cell>
        </row>
        <row r="12">
          <cell r="A12" t="str">
            <v>Devon &amp; Cornwall</v>
          </cell>
        </row>
        <row r="13">
          <cell r="A13" t="str">
            <v>Dorset</v>
          </cell>
        </row>
        <row r="14">
          <cell r="A14" t="str">
            <v>Durham</v>
          </cell>
        </row>
        <row r="15">
          <cell r="A15" t="str">
            <v>Dyfed-Powys</v>
          </cell>
        </row>
        <row r="16">
          <cell r="A16" t="str">
            <v>Essex</v>
          </cell>
        </row>
        <row r="17">
          <cell r="A17" t="str">
            <v>Gloucestershire</v>
          </cell>
        </row>
        <row r="18">
          <cell r="A18" t="str">
            <v>Greater Manchester</v>
          </cell>
        </row>
        <row r="19">
          <cell r="A19" t="str">
            <v>Gwent</v>
          </cell>
        </row>
        <row r="20">
          <cell r="A20" t="str">
            <v>Hampshire</v>
          </cell>
        </row>
        <row r="21">
          <cell r="A21" t="str">
            <v>Hertfordshire</v>
          </cell>
        </row>
        <row r="22">
          <cell r="A22" t="str">
            <v>Humberside</v>
          </cell>
        </row>
        <row r="23">
          <cell r="A23" t="str">
            <v>Kent</v>
          </cell>
        </row>
        <row r="24">
          <cell r="A24" t="str">
            <v>Lancashire</v>
          </cell>
        </row>
        <row r="25">
          <cell r="A25" t="str">
            <v>Leicestershire</v>
          </cell>
        </row>
        <row r="26">
          <cell r="A26" t="str">
            <v>Lincolnshire</v>
          </cell>
        </row>
        <row r="27">
          <cell r="A27" t="str">
            <v>London, City of</v>
          </cell>
        </row>
        <row r="28">
          <cell r="A28" t="str">
            <v>Merseyside</v>
          </cell>
        </row>
        <row r="29">
          <cell r="A29" t="str">
            <v>Metropolitan Police</v>
          </cell>
        </row>
        <row r="30">
          <cell r="A30" t="str">
            <v>Norfolk</v>
          </cell>
        </row>
        <row r="31">
          <cell r="A31" t="str">
            <v>North Wales</v>
          </cell>
        </row>
        <row r="32">
          <cell r="A32" t="str">
            <v>North Yorkshire</v>
          </cell>
        </row>
        <row r="33">
          <cell r="A33" t="str">
            <v>Northamptonshire</v>
          </cell>
        </row>
        <row r="34">
          <cell r="A34" t="str">
            <v>Northumbria</v>
          </cell>
        </row>
        <row r="35">
          <cell r="A35" t="str">
            <v>Nottinghamshire</v>
          </cell>
        </row>
        <row r="36">
          <cell r="A36" t="str">
            <v>South Wales</v>
          </cell>
        </row>
        <row r="37">
          <cell r="A37" t="str">
            <v>South Yorkshire</v>
          </cell>
        </row>
        <row r="38">
          <cell r="A38" t="str">
            <v>Staffordshire</v>
          </cell>
        </row>
        <row r="39">
          <cell r="A39" t="str">
            <v>Suffolk</v>
          </cell>
        </row>
        <row r="40">
          <cell r="A40" t="str">
            <v>Surrey</v>
          </cell>
        </row>
        <row r="41">
          <cell r="A41" t="str">
            <v>Sussex</v>
          </cell>
        </row>
        <row r="42">
          <cell r="A42" t="str">
            <v>Thames Valley</v>
          </cell>
        </row>
        <row r="43">
          <cell r="A43" t="str">
            <v>Warwickshire</v>
          </cell>
        </row>
        <row r="44">
          <cell r="A44" t="str">
            <v>West Mercia</v>
          </cell>
        </row>
        <row r="45">
          <cell r="A45" t="str">
            <v>West Midlands</v>
          </cell>
        </row>
        <row r="46">
          <cell r="A46" t="str">
            <v>West Yorkshire</v>
          </cell>
        </row>
        <row r="47">
          <cell r="A47" t="str">
            <v>Wiltshire</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Summary"/>
      <sheetName val="Common values"/>
      <sheetName val="Table Q4.1"/>
      <sheetName val="Table Q4.2"/>
      <sheetName val="Table Q4.3"/>
      <sheetName val="Table Q4a"/>
      <sheetName val="Table Q4b"/>
      <sheetName val="Table Q4c"/>
      <sheetName val="Table Q4d"/>
      <sheetName val="Pivot 1"/>
      <sheetName val="Pivot 2"/>
      <sheetName val="Pivot 3"/>
      <sheetName val="Pivot 4"/>
      <sheetName val="Pivot 5"/>
      <sheetName val="Pivot 6"/>
      <sheetName val="Pivot 7"/>
      <sheetName val="Figure 4.1"/>
      <sheetName val="Figure 4.2"/>
      <sheetName val="Figure 4.3"/>
      <sheetName val="Data"/>
      <sheetName val="Checksheet values"/>
      <sheetName val="Sheet2"/>
      <sheetName val="Sheet3"/>
      <sheetName val="Common_values2"/>
      <sheetName val="Table_Q4_12"/>
      <sheetName val="Table_Q4_22"/>
      <sheetName val="Table_Q4_32"/>
      <sheetName val="Table_Q4a2"/>
      <sheetName val="Table_Q4b2"/>
      <sheetName val="Table_Q4c2"/>
      <sheetName val="Table_Q4d2"/>
      <sheetName val="Pivot_12"/>
      <sheetName val="Pivot_22"/>
      <sheetName val="Pivot_32"/>
      <sheetName val="Pivot_42"/>
      <sheetName val="Pivot_52"/>
      <sheetName val="Pivot_62"/>
      <sheetName val="Pivot_72"/>
      <sheetName val="Figure_4_12"/>
      <sheetName val="Figure_4_22"/>
      <sheetName val="Figure_4_32"/>
      <sheetName val="Checksheet_values2"/>
      <sheetName val="Common_values"/>
      <sheetName val="Table_Q4_1"/>
      <sheetName val="Table_Q4_2"/>
      <sheetName val="Table_Q4_3"/>
      <sheetName val="Table_Q4a"/>
      <sheetName val="Table_Q4b"/>
      <sheetName val="Table_Q4c"/>
      <sheetName val="Table_Q4d"/>
      <sheetName val="Pivot_1"/>
      <sheetName val="Pivot_2"/>
      <sheetName val="Pivot_3"/>
      <sheetName val="Pivot_4"/>
      <sheetName val="Pivot_5"/>
      <sheetName val="Pivot_6"/>
      <sheetName val="Pivot_7"/>
      <sheetName val="Figure_4_1"/>
      <sheetName val="Figure_4_2"/>
      <sheetName val="Figure_4_3"/>
      <sheetName val="Checksheet_values"/>
      <sheetName val="Common_values1"/>
      <sheetName val="Table_Q4_11"/>
      <sheetName val="Table_Q4_21"/>
      <sheetName val="Table_Q4_31"/>
      <sheetName val="Table_Q4a1"/>
      <sheetName val="Table_Q4b1"/>
      <sheetName val="Table_Q4c1"/>
      <sheetName val="Table_Q4d1"/>
      <sheetName val="Pivot_11"/>
      <sheetName val="Pivot_21"/>
      <sheetName val="Pivot_31"/>
      <sheetName val="Pivot_41"/>
      <sheetName val="Pivot_51"/>
      <sheetName val="Pivot_61"/>
      <sheetName val="Pivot_71"/>
      <sheetName val="Figure_4_11"/>
      <sheetName val="Figure_4_21"/>
      <sheetName val="Figure_4_31"/>
      <sheetName val="Checksheet_values1"/>
    </sheetNames>
    <sheetDataSet>
      <sheetData sheetId="0"/>
      <sheetData sheetId="1"/>
      <sheetData sheetId="2"/>
      <sheetData sheetId="3" refreshError="1">
        <row r="7">
          <cell r="A7" t="str">
            <v>Offence group</v>
          </cell>
          <cell r="C7" t="str">
            <v>Sep 01</v>
          </cell>
          <cell r="D7" t="str">
            <v>Sep 02</v>
          </cell>
          <cell r="E7" t="str">
            <v>Sep 03</v>
          </cell>
          <cell r="F7" t="str">
            <v>Sep 04</v>
          </cell>
          <cell r="G7" t="str">
            <v>Sep 05</v>
          </cell>
          <cell r="H7" t="str">
            <v>Sep 06</v>
          </cell>
          <cell r="I7" t="str">
            <v>Sep 07</v>
          </cell>
          <cell r="J7" t="str">
            <v>Sep 08</v>
          </cell>
          <cell r="K7" t="str">
            <v>Sep 09</v>
          </cell>
          <cell r="L7" t="str">
            <v>Sep 10</v>
          </cell>
        </row>
        <row r="9">
          <cell r="A9" t="str">
            <v>Indictable offences</v>
          </cell>
        </row>
        <row r="10">
          <cell r="A10" t="str">
            <v>Violence against the person</v>
          </cell>
          <cell r="C10">
            <v>34.814999999999998</v>
          </cell>
          <cell r="D10">
            <v>36.923999999999999</v>
          </cell>
          <cell r="E10">
            <v>38.030999999999999</v>
          </cell>
          <cell r="F10">
            <v>39.106000000000002</v>
          </cell>
          <cell r="G10">
            <v>40.145000000000003</v>
          </cell>
          <cell r="H10">
            <v>41.893999999999998</v>
          </cell>
          <cell r="I10">
            <v>41.747999999999998</v>
          </cell>
          <cell r="J10">
            <v>41.552</v>
          </cell>
          <cell r="K10">
            <v>43.304000000000002</v>
          </cell>
          <cell r="L10">
            <v>44.189</v>
          </cell>
        </row>
        <row r="11">
          <cell r="A11" t="str">
            <v>Sexual offences</v>
          </cell>
          <cell r="C11">
            <v>3.9119999999999999</v>
          </cell>
          <cell r="D11">
            <v>4.4059999999999997</v>
          </cell>
          <cell r="E11">
            <v>4.2389999999999999</v>
          </cell>
          <cell r="F11">
            <v>4.6769999999999996</v>
          </cell>
          <cell r="G11">
            <v>4.7670000000000003</v>
          </cell>
          <cell r="H11">
            <v>4.883</v>
          </cell>
          <cell r="I11">
            <v>5.0259999999999998</v>
          </cell>
          <cell r="J11">
            <v>5.1539999999999999</v>
          </cell>
          <cell r="K11">
            <v>4.9790000000000001</v>
          </cell>
          <cell r="L11">
            <v>5.6230000000000002</v>
          </cell>
        </row>
        <row r="12">
          <cell r="A12" t="str">
            <v>Burglary</v>
          </cell>
          <cell r="C12">
            <v>24.576000000000001</v>
          </cell>
          <cell r="D12">
            <v>26.283000000000001</v>
          </cell>
          <cell r="E12">
            <v>25.832999999999998</v>
          </cell>
          <cell r="F12">
            <v>24.774000000000001</v>
          </cell>
          <cell r="G12">
            <v>23.132000000000001</v>
          </cell>
          <cell r="H12">
            <v>22.789000000000001</v>
          </cell>
          <cell r="I12">
            <v>23.846</v>
          </cell>
          <cell r="J12">
            <v>23.672000000000001</v>
          </cell>
          <cell r="K12">
            <v>23.341000000000001</v>
          </cell>
          <cell r="L12">
            <v>23.318999999999999</v>
          </cell>
        </row>
        <row r="13">
          <cell r="A13" t="str">
            <v>Robbery</v>
          </cell>
          <cell r="C13">
            <v>6.5970000000000004</v>
          </cell>
          <cell r="D13">
            <v>7.4429999999999996</v>
          </cell>
          <cell r="E13">
            <v>7.5949999999999998</v>
          </cell>
          <cell r="F13">
            <v>7.3390000000000004</v>
          </cell>
          <cell r="G13">
            <v>7.15</v>
          </cell>
          <cell r="H13">
            <v>7.8760000000000003</v>
          </cell>
          <cell r="I13">
            <v>8.6159999999999997</v>
          </cell>
          <cell r="J13">
            <v>8.5990000000000002</v>
          </cell>
          <cell r="K13">
            <v>8.7620000000000005</v>
          </cell>
          <cell r="L13">
            <v>8.3670000000000009</v>
          </cell>
        </row>
        <row r="14">
          <cell r="A14" t="str">
            <v>Theft and handling stolen goods</v>
          </cell>
          <cell r="C14">
            <v>125.46599999999999</v>
          </cell>
          <cell r="D14">
            <v>127.96</v>
          </cell>
          <cell r="E14">
            <v>121.114</v>
          </cell>
          <cell r="F14">
            <v>112.456</v>
          </cell>
          <cell r="G14">
            <v>104.473</v>
          </cell>
          <cell r="H14">
            <v>100.732</v>
          </cell>
          <cell r="I14">
            <v>102.932</v>
          </cell>
          <cell r="J14">
            <v>108.896</v>
          </cell>
          <cell r="K14">
            <v>113.539</v>
          </cell>
          <cell r="L14">
            <v>118.261</v>
          </cell>
        </row>
        <row r="15">
          <cell r="A15" t="str">
            <v>Fraud and forgery</v>
          </cell>
          <cell r="C15">
            <v>21.765000000000001</v>
          </cell>
          <cell r="D15">
            <v>21.379000000000001</v>
          </cell>
          <cell r="E15">
            <v>21.297000000000001</v>
          </cell>
          <cell r="F15">
            <v>21.077000000000002</v>
          </cell>
          <cell r="G15">
            <v>20.206</v>
          </cell>
          <cell r="H15">
            <v>20.335999999999999</v>
          </cell>
          <cell r="I15">
            <v>20.276</v>
          </cell>
          <cell r="J15">
            <v>20.863</v>
          </cell>
          <cell r="K15">
            <v>20.901</v>
          </cell>
          <cell r="L15">
            <v>21.082000000000001</v>
          </cell>
        </row>
        <row r="16">
          <cell r="A16" t="str">
            <v>Criminal damage</v>
          </cell>
          <cell r="C16">
            <v>10.307</v>
          </cell>
          <cell r="D16">
            <v>11.013</v>
          </cell>
          <cell r="E16">
            <v>11.132999999999999</v>
          </cell>
          <cell r="F16">
            <v>11.654</v>
          </cell>
          <cell r="G16">
            <v>11.544</v>
          </cell>
          <cell r="H16">
            <v>12.627000000000001</v>
          </cell>
          <cell r="I16">
            <v>12.756</v>
          </cell>
          <cell r="J16">
            <v>10.324</v>
          </cell>
          <cell r="K16">
            <v>8.1329999999999991</v>
          </cell>
          <cell r="L16">
            <v>7.7690000000000001</v>
          </cell>
        </row>
        <row r="17">
          <cell r="A17" t="str">
            <v>Drug offences</v>
          </cell>
          <cell r="C17">
            <v>45.073</v>
          </cell>
          <cell r="D17">
            <v>47.457999999999998</v>
          </cell>
          <cell r="E17">
            <v>51.320999999999998</v>
          </cell>
          <cell r="F17">
            <v>42.368000000000002</v>
          </cell>
          <cell r="G17">
            <v>38.381</v>
          </cell>
          <cell r="H17">
            <v>40.28</v>
          </cell>
          <cell r="I17">
            <v>41.966999999999999</v>
          </cell>
          <cell r="J17">
            <v>50.976999999999997</v>
          </cell>
          <cell r="K17">
            <v>55.844000000000001</v>
          </cell>
          <cell r="L17">
            <v>61.521999999999998</v>
          </cell>
        </row>
        <row r="18">
          <cell r="A18" t="str">
            <v>Other (excluding motoring offences)</v>
          </cell>
          <cell r="C18">
            <v>43.49</v>
          </cell>
          <cell r="D18">
            <v>47.045999999999999</v>
          </cell>
          <cell r="E18">
            <v>50.454000000000001</v>
          </cell>
          <cell r="F18">
            <v>54.534999999999997</v>
          </cell>
          <cell r="G18">
            <v>52.73</v>
          </cell>
          <cell r="H18">
            <v>51.508000000000003</v>
          </cell>
          <cell r="I18">
            <v>46.374000000000002</v>
          </cell>
          <cell r="J18">
            <v>41.488999999999997</v>
          </cell>
          <cell r="K18">
            <v>45.197000000000003</v>
          </cell>
          <cell r="L18">
            <v>51.158000000000001</v>
          </cell>
        </row>
        <row r="19">
          <cell r="A19" t="str">
            <v>Motoring offences</v>
          </cell>
          <cell r="C19">
            <v>4.1050000000000004</v>
          </cell>
          <cell r="D19">
            <v>4.7240000000000002</v>
          </cell>
          <cell r="E19">
            <v>5.3719999999999999</v>
          </cell>
          <cell r="F19">
            <v>5.4109999999999996</v>
          </cell>
          <cell r="G19">
            <v>4.8609999999999998</v>
          </cell>
          <cell r="H19">
            <v>4.49</v>
          </cell>
          <cell r="I19">
            <v>4.2210000000000001</v>
          </cell>
          <cell r="J19">
            <v>3.9060000000000001</v>
          </cell>
          <cell r="K19">
            <v>3.6259999999999999</v>
          </cell>
          <cell r="L19">
            <v>3.4209999999999998</v>
          </cell>
        </row>
        <row r="20">
          <cell r="A20" t="str">
            <v>Total</v>
          </cell>
          <cell r="C20">
            <v>320.10599999999999</v>
          </cell>
          <cell r="D20">
            <v>334.63599999999997</v>
          </cell>
          <cell r="E20">
            <v>336.38900000000001</v>
          </cell>
          <cell r="F20">
            <v>323.39699999999999</v>
          </cell>
          <cell r="G20">
            <v>307.38900000000001</v>
          </cell>
          <cell r="H20">
            <v>307.41500000000002</v>
          </cell>
          <cell r="I20">
            <v>307.76200000000006</v>
          </cell>
          <cell r="J20">
            <v>315.43199999999996</v>
          </cell>
          <cell r="K20">
            <v>327.62600000000003</v>
          </cell>
          <cell r="L20">
            <v>344.71100000000001</v>
          </cell>
        </row>
        <row r="22">
          <cell r="A22" t="str">
            <v>Summary offences</v>
          </cell>
        </row>
        <row r="23">
          <cell r="A23" t="str">
            <v>Summary motoring</v>
          </cell>
          <cell r="C23">
            <v>584.19500000000005</v>
          </cell>
          <cell r="D23">
            <v>590.10169999999994</v>
          </cell>
          <cell r="E23">
            <v>639.45069999999998</v>
          </cell>
          <cell r="F23">
            <v>711.29499999999996</v>
          </cell>
          <cell r="G23">
            <v>678.47</v>
          </cell>
          <cell r="H23">
            <v>630.77099999999996</v>
          </cell>
          <cell r="I23">
            <v>616.05399999999997</v>
          </cell>
          <cell r="J23">
            <v>566.73800000000006</v>
          </cell>
          <cell r="K23">
            <v>560.15700000000004</v>
          </cell>
          <cell r="L23">
            <v>533.06100000000004</v>
          </cell>
        </row>
        <row r="24">
          <cell r="A24" t="str">
            <v>Summary non-motoring</v>
          </cell>
          <cell r="C24">
            <v>462.21600000000001</v>
          </cell>
          <cell r="D24">
            <v>467.20850000000002</v>
          </cell>
          <cell r="E24">
            <v>484.74599999999998</v>
          </cell>
          <cell r="F24">
            <v>530.404</v>
          </cell>
          <cell r="G24">
            <v>512.14800000000002</v>
          </cell>
          <cell r="H24">
            <v>497.74599999999998</v>
          </cell>
          <cell r="I24">
            <v>491.35899999999998</v>
          </cell>
          <cell r="J24">
            <v>491.03800000000001</v>
          </cell>
          <cell r="K24">
            <v>512.63400000000001</v>
          </cell>
          <cell r="L24">
            <v>497.71899999999999</v>
          </cell>
        </row>
        <row r="25">
          <cell r="A25" t="str">
            <v>Total</v>
          </cell>
          <cell r="C25">
            <v>1046.4110000000001</v>
          </cell>
          <cell r="D25">
            <v>1057.3101999999999</v>
          </cell>
          <cell r="E25">
            <v>1124.1967</v>
          </cell>
          <cell r="F25">
            <v>1241.6990000000001</v>
          </cell>
          <cell r="G25">
            <v>1190.6179999999999</v>
          </cell>
          <cell r="H25">
            <v>1128.5169999999998</v>
          </cell>
          <cell r="I25">
            <v>1107.413</v>
          </cell>
          <cell r="J25">
            <v>1057.7760000000001</v>
          </cell>
          <cell r="K25">
            <v>1072.7910000000002</v>
          </cell>
          <cell r="L25">
            <v>1030.78</v>
          </cell>
        </row>
        <row r="27">
          <cell r="A27" t="str">
            <v>All offences (3)</v>
          </cell>
          <cell r="C27">
            <v>1366.5170000000001</v>
          </cell>
          <cell r="D27">
            <v>1391.9461999999999</v>
          </cell>
          <cell r="E27">
            <v>1460.5857000000001</v>
          </cell>
          <cell r="F27">
            <v>1565.096</v>
          </cell>
          <cell r="G27">
            <v>1498.0070000000001</v>
          </cell>
          <cell r="H27">
            <v>1435.9319999999998</v>
          </cell>
          <cell r="I27">
            <v>1415.1750000000002</v>
          </cell>
          <cell r="J27">
            <v>1373.2080000000001</v>
          </cell>
          <cell r="K27">
            <v>1400.4170000000001</v>
          </cell>
          <cell r="L27">
            <v>1375.491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 page"/>
      <sheetName val="Summary Table"/>
      <sheetName val="Summary table OLD"/>
      <sheetName val="OBJ"/>
      <sheetName val="Ineffective"/>
      <sheetName val="PYO"/>
      <sheetName val="Confidence"/>
      <sheetName val="Timeliness MC"/>
      <sheetName val="Timeliness CC"/>
      <sheetName val="Fines (excl)"/>
      <sheetName val="CPBW"/>
      <sheetName val="CPS - Bench Warrants"/>
      <sheetName val="Community Penalties"/>
      <sheetName val="Sanction Detections"/>
      <sheetName val="Convictions"/>
      <sheetName val="FTA Warrants"/>
      <sheetName val="Record of changes"/>
      <sheetName val="Timeliness MC 2"/>
      <sheetName val="Timeliness CC 2"/>
      <sheetName val="Front_page3"/>
      <sheetName val="Summary_Table3"/>
      <sheetName val="Summary_table_OLD3"/>
      <sheetName val="Timeliness_MC3"/>
      <sheetName val="Timeliness_CC3"/>
      <sheetName val="Fines_(excl)3"/>
      <sheetName val="CPS_-_Bench_Warrants3"/>
      <sheetName val="Community_Penalties3"/>
      <sheetName val="Sanction_Detections3"/>
      <sheetName val="FTA_Warrants3"/>
      <sheetName val="Record_of_changes3"/>
      <sheetName val="Timeliness_MC_23"/>
      <sheetName val="Timeliness_CC_23"/>
      <sheetName val="Front_page"/>
      <sheetName val="Summary_Table"/>
      <sheetName val="Summary_table_OLD"/>
      <sheetName val="Timeliness_MC"/>
      <sheetName val="Timeliness_CC"/>
      <sheetName val="Fines_(excl)"/>
      <sheetName val="CPS_-_Bench_Warrants"/>
      <sheetName val="Community_Penalties"/>
      <sheetName val="Sanction_Detections"/>
      <sheetName val="FTA_Warrants"/>
      <sheetName val="Record_of_changes"/>
      <sheetName val="Timeliness_MC_2"/>
      <sheetName val="Timeliness_CC_2"/>
      <sheetName val="Front_page2"/>
      <sheetName val="Summary_Table2"/>
      <sheetName val="Summary_table_OLD2"/>
      <sheetName val="Timeliness_MC2"/>
      <sheetName val="Timeliness_CC2"/>
      <sheetName val="Fines_(excl)2"/>
      <sheetName val="CPS_-_Bench_Warrants2"/>
      <sheetName val="Community_Penalties2"/>
      <sheetName val="Sanction_Detections2"/>
      <sheetName val="FTA_Warrants2"/>
      <sheetName val="Record_of_changes2"/>
      <sheetName val="Timeliness_MC_22"/>
      <sheetName val="Timeliness_CC_22"/>
      <sheetName val="Front_page1"/>
      <sheetName val="Summary_Table1"/>
      <sheetName val="Summary_table_OLD1"/>
      <sheetName val="Timeliness_MC1"/>
      <sheetName val="Timeliness_CC1"/>
      <sheetName val="Fines_(excl)1"/>
      <sheetName val="CPS_-_Bench_Warrants1"/>
      <sheetName val="Community_Penalties1"/>
      <sheetName val="Sanction_Detections1"/>
      <sheetName val="FTA_Warrants1"/>
      <sheetName val="Record_of_changes1"/>
      <sheetName val="Timeliness_MC_21"/>
      <sheetName val="Timeliness_CC_21"/>
      <sheetName val="Front_page4"/>
      <sheetName val="Summary_Table4"/>
      <sheetName val="Summary_table_OLD4"/>
      <sheetName val="Timeliness_MC4"/>
      <sheetName val="Timeliness_CC4"/>
      <sheetName val="Fines_(excl)4"/>
      <sheetName val="CPS_-_Bench_Warrants4"/>
      <sheetName val="Community_Penalties4"/>
      <sheetName val="Sanction_Detections4"/>
      <sheetName val="FTA_Warrants4"/>
      <sheetName val="Record_of_changes4"/>
      <sheetName val="Timeliness_MC_24"/>
      <sheetName val="Timeliness_CC_24"/>
      <sheetName val="Front_page5"/>
      <sheetName val="Summary_Table5"/>
      <sheetName val="Summary_table_OLD5"/>
      <sheetName val="Timeliness_MC5"/>
      <sheetName val="Timeliness_CC5"/>
      <sheetName val="Fines_(excl)5"/>
      <sheetName val="CPS_-_Bench_Warrants5"/>
      <sheetName val="Community_Penalties5"/>
      <sheetName val="Sanction_Detections5"/>
      <sheetName val="FTA_Warrants5"/>
      <sheetName val="Record_of_changes5"/>
      <sheetName val="Timeliness_MC_25"/>
      <sheetName val="Timeliness_CC_25"/>
      <sheetName val="Front_page8"/>
      <sheetName val="Summary_Table8"/>
      <sheetName val="Summary_table_OLD8"/>
      <sheetName val="Timeliness_MC8"/>
      <sheetName val="Timeliness_CC8"/>
      <sheetName val="Fines_(excl)8"/>
      <sheetName val="CPS_-_Bench_Warrants8"/>
      <sheetName val="Community_Penalties8"/>
      <sheetName val="Sanction_Detections8"/>
      <sheetName val="FTA_Warrants8"/>
      <sheetName val="Record_of_changes8"/>
      <sheetName val="Timeliness_MC_28"/>
      <sheetName val="Timeliness_CC_28"/>
      <sheetName val="Front_page7"/>
      <sheetName val="Summary_Table7"/>
      <sheetName val="Summary_table_OLD7"/>
      <sheetName val="Timeliness_MC7"/>
      <sheetName val="Timeliness_CC7"/>
      <sheetName val="Fines_(excl)7"/>
      <sheetName val="CPS_-_Bench_Warrants7"/>
      <sheetName val="Community_Penalties7"/>
      <sheetName val="Sanction_Detections7"/>
      <sheetName val="FTA_Warrants7"/>
      <sheetName val="Record_of_changes7"/>
      <sheetName val="Timeliness_MC_27"/>
      <sheetName val="Timeliness_CC_27"/>
      <sheetName val="Front_page6"/>
      <sheetName val="Summary_Table6"/>
      <sheetName val="Summary_table_OLD6"/>
      <sheetName val="Timeliness_MC6"/>
      <sheetName val="Timeliness_CC6"/>
      <sheetName val="Fines_(excl)6"/>
      <sheetName val="CPS_-_Bench_Warrants6"/>
      <sheetName val="Community_Penalties6"/>
      <sheetName val="Sanction_Detections6"/>
      <sheetName val="FTA_Warrants6"/>
      <sheetName val="Record_of_changes6"/>
      <sheetName val="Timeliness_MC_26"/>
      <sheetName val="Timeliness_CC_26"/>
      <sheetName val="Front_page11"/>
      <sheetName val="Summary_Table11"/>
      <sheetName val="Summary_table_OLD11"/>
      <sheetName val="Timeliness_MC11"/>
      <sheetName val="Timeliness_CC11"/>
      <sheetName val="Fines_(excl)11"/>
      <sheetName val="CPS_-_Bench_Warrants11"/>
      <sheetName val="Community_Penalties11"/>
      <sheetName val="Sanction_Detections11"/>
      <sheetName val="FTA_Warrants11"/>
      <sheetName val="Record_of_changes11"/>
      <sheetName val="Timeliness_MC_211"/>
      <sheetName val="Timeliness_CC_211"/>
      <sheetName val="Front_page9"/>
      <sheetName val="Summary_Table9"/>
      <sheetName val="Summary_table_OLD9"/>
      <sheetName val="Timeliness_MC9"/>
      <sheetName val="Timeliness_CC9"/>
      <sheetName val="Fines_(excl)9"/>
      <sheetName val="CPS_-_Bench_Warrants9"/>
      <sheetName val="Community_Penalties9"/>
      <sheetName val="Sanction_Detections9"/>
      <sheetName val="FTA_Warrants9"/>
      <sheetName val="Record_of_changes9"/>
      <sheetName val="Timeliness_MC_29"/>
      <sheetName val="Timeliness_CC_29"/>
      <sheetName val="Front_page10"/>
      <sheetName val="Summary_Table10"/>
      <sheetName val="Summary_table_OLD10"/>
      <sheetName val="Timeliness_MC10"/>
      <sheetName val="Timeliness_CC10"/>
      <sheetName val="Fines_(excl)10"/>
      <sheetName val="CPS_-_Bench_Warrants10"/>
      <sheetName val="Community_Penalties10"/>
      <sheetName val="Sanction_Detections10"/>
      <sheetName val="FTA_Warrants10"/>
      <sheetName val="Record_of_changes10"/>
      <sheetName val="Timeliness_MC_210"/>
      <sheetName val="Timeliness_CC_210"/>
      <sheetName val="Front_page13"/>
      <sheetName val="Summary_Table13"/>
      <sheetName val="Summary_table_OLD13"/>
      <sheetName val="Timeliness_MC13"/>
      <sheetName val="Timeliness_CC13"/>
      <sheetName val="Fines_(excl)13"/>
      <sheetName val="CPS_-_Bench_Warrants13"/>
      <sheetName val="Community_Penalties13"/>
      <sheetName val="Sanction_Detections13"/>
      <sheetName val="FTA_Warrants13"/>
      <sheetName val="Record_of_changes13"/>
      <sheetName val="Timeliness_MC_213"/>
      <sheetName val="Timeliness_CC_213"/>
      <sheetName val="Front_page12"/>
      <sheetName val="Summary_Table12"/>
      <sheetName val="Summary_table_OLD12"/>
      <sheetName val="Timeliness_MC12"/>
      <sheetName val="Timeliness_CC12"/>
      <sheetName val="Fines_(excl)12"/>
      <sheetName val="CPS_-_Bench_Warrants12"/>
      <sheetName val="Community_Penalties12"/>
      <sheetName val="Sanction_Detections12"/>
      <sheetName val="FTA_Warrants12"/>
      <sheetName val="Record_of_changes12"/>
      <sheetName val="Timeliness_MC_212"/>
      <sheetName val="Timeliness_CC_212"/>
      <sheetName val="Front_page14"/>
      <sheetName val="Summary_Table14"/>
      <sheetName val="Summary_table_OLD14"/>
      <sheetName val="Timeliness_MC14"/>
      <sheetName val="Timeliness_CC14"/>
      <sheetName val="Fines_(excl)14"/>
      <sheetName val="CPS_-_Bench_Warrants14"/>
      <sheetName val="Community_Penalties14"/>
      <sheetName val="Sanction_Detections14"/>
      <sheetName val="FTA_Warrants14"/>
      <sheetName val="Record_of_changes14"/>
      <sheetName val="Timeliness_MC_214"/>
      <sheetName val="Timeliness_CC_214"/>
      <sheetName val="Front_page15"/>
      <sheetName val="Summary_Table15"/>
      <sheetName val="Summary_table_OLD15"/>
      <sheetName val="Timeliness_MC15"/>
      <sheetName val="Timeliness_CC15"/>
      <sheetName val="Fines_(excl)15"/>
      <sheetName val="CPS_-_Bench_Warrants15"/>
      <sheetName val="Community_Penalties15"/>
      <sheetName val="Sanction_Detections15"/>
      <sheetName val="FTA_Warrants15"/>
      <sheetName val="Record_of_changes15"/>
      <sheetName val="Timeliness_MC_215"/>
      <sheetName val="Timeliness_CC_215"/>
      <sheetName val="Front_page19"/>
      <sheetName val="Summary_Table19"/>
      <sheetName val="Summary_table_OLD19"/>
      <sheetName val="Timeliness_MC19"/>
      <sheetName val="Timeliness_CC19"/>
      <sheetName val="Fines_(excl)19"/>
      <sheetName val="CPS_-_Bench_Warrants19"/>
      <sheetName val="Community_Penalties19"/>
      <sheetName val="Sanction_Detections19"/>
      <sheetName val="FTA_Warrants19"/>
      <sheetName val="Record_of_changes19"/>
      <sheetName val="Timeliness_MC_219"/>
      <sheetName val="Timeliness_CC_219"/>
      <sheetName val="Front_page16"/>
      <sheetName val="Summary_Table16"/>
      <sheetName val="Summary_table_OLD16"/>
      <sheetName val="Timeliness_MC16"/>
      <sheetName val="Timeliness_CC16"/>
      <sheetName val="Fines_(excl)16"/>
      <sheetName val="CPS_-_Bench_Warrants16"/>
      <sheetName val="Community_Penalties16"/>
      <sheetName val="Sanction_Detections16"/>
      <sheetName val="FTA_Warrants16"/>
      <sheetName val="Record_of_changes16"/>
      <sheetName val="Timeliness_MC_216"/>
      <sheetName val="Timeliness_CC_216"/>
      <sheetName val="Front_page17"/>
      <sheetName val="Summary_Table17"/>
      <sheetName val="Summary_table_OLD17"/>
      <sheetName val="Timeliness_MC17"/>
      <sheetName val="Timeliness_CC17"/>
      <sheetName val="Fines_(excl)17"/>
      <sheetName val="CPS_-_Bench_Warrants17"/>
      <sheetName val="Community_Penalties17"/>
      <sheetName val="Sanction_Detections17"/>
      <sheetName val="FTA_Warrants17"/>
      <sheetName val="Record_of_changes17"/>
      <sheetName val="Timeliness_MC_217"/>
      <sheetName val="Timeliness_CC_217"/>
      <sheetName val="Front_page18"/>
      <sheetName val="Summary_Table18"/>
      <sheetName val="Summary_table_OLD18"/>
      <sheetName val="Timeliness_MC18"/>
      <sheetName val="Timeliness_CC18"/>
      <sheetName val="Fines_(excl)18"/>
      <sheetName val="CPS_-_Bench_Warrants18"/>
      <sheetName val="Community_Penalties18"/>
      <sheetName val="Sanction_Detections18"/>
      <sheetName val="FTA_Warrants18"/>
      <sheetName val="Record_of_changes18"/>
      <sheetName val="Timeliness_MC_218"/>
      <sheetName val="Timeliness_CC_218"/>
      <sheetName val="Front_page23"/>
      <sheetName val="Summary_Table23"/>
      <sheetName val="Summary_table_OLD23"/>
      <sheetName val="Timeliness_MC23"/>
      <sheetName val="Timeliness_CC23"/>
      <sheetName val="Fines_(excl)23"/>
      <sheetName val="CPS_-_Bench_Warrants23"/>
      <sheetName val="Community_Penalties23"/>
      <sheetName val="Sanction_Detections23"/>
      <sheetName val="FTA_Warrants23"/>
      <sheetName val="Record_of_changes23"/>
      <sheetName val="Timeliness_MC_223"/>
      <sheetName val="Timeliness_CC_223"/>
      <sheetName val="Front_page20"/>
      <sheetName val="Summary_Table20"/>
      <sheetName val="Summary_table_OLD20"/>
      <sheetName val="Timeliness_MC20"/>
      <sheetName val="Timeliness_CC20"/>
      <sheetName val="Fines_(excl)20"/>
      <sheetName val="CPS_-_Bench_Warrants20"/>
      <sheetName val="Community_Penalties20"/>
      <sheetName val="Sanction_Detections20"/>
      <sheetName val="FTA_Warrants20"/>
      <sheetName val="Record_of_changes20"/>
      <sheetName val="Timeliness_MC_220"/>
      <sheetName val="Timeliness_CC_220"/>
      <sheetName val="Front_page21"/>
      <sheetName val="Summary_Table21"/>
      <sheetName val="Summary_table_OLD21"/>
      <sheetName val="Timeliness_MC21"/>
      <sheetName val="Timeliness_CC21"/>
      <sheetName val="Fines_(excl)21"/>
      <sheetName val="CPS_-_Bench_Warrants21"/>
      <sheetName val="Community_Penalties21"/>
      <sheetName val="Sanction_Detections21"/>
      <sheetName val="FTA_Warrants21"/>
      <sheetName val="Record_of_changes21"/>
      <sheetName val="Timeliness_MC_221"/>
      <sheetName val="Timeliness_CC_221"/>
      <sheetName val="Front_page22"/>
      <sheetName val="Summary_Table22"/>
      <sheetName val="Summary_table_OLD22"/>
      <sheetName val="Timeliness_MC22"/>
      <sheetName val="Timeliness_CC22"/>
      <sheetName val="Fines_(excl)22"/>
      <sheetName val="CPS_-_Bench_Warrants22"/>
      <sheetName val="Community_Penalties22"/>
      <sheetName val="Sanction_Detections22"/>
      <sheetName val="FTA_Warrants22"/>
      <sheetName val="Record_of_changes22"/>
      <sheetName val="Timeliness_MC_222"/>
      <sheetName val="Timeliness_CC_222"/>
      <sheetName val="Front_page27"/>
      <sheetName val="Summary_Table27"/>
      <sheetName val="Summary_table_OLD27"/>
      <sheetName val="Timeliness_MC27"/>
      <sheetName val="Timeliness_CC27"/>
      <sheetName val="Fines_(excl)27"/>
      <sheetName val="CPS_-_Bench_Warrants27"/>
      <sheetName val="Community_Penalties27"/>
      <sheetName val="Sanction_Detections27"/>
      <sheetName val="FTA_Warrants27"/>
      <sheetName val="Record_of_changes27"/>
      <sheetName val="Timeliness_MC_227"/>
      <sheetName val="Timeliness_CC_227"/>
      <sheetName val="Front_page24"/>
      <sheetName val="Summary_Table24"/>
      <sheetName val="Summary_table_OLD24"/>
      <sheetName val="Timeliness_MC24"/>
      <sheetName val="Timeliness_CC24"/>
      <sheetName val="Fines_(excl)24"/>
      <sheetName val="CPS_-_Bench_Warrants24"/>
      <sheetName val="Community_Penalties24"/>
      <sheetName val="Sanction_Detections24"/>
      <sheetName val="FTA_Warrants24"/>
      <sheetName val="Record_of_changes24"/>
      <sheetName val="Timeliness_MC_224"/>
      <sheetName val="Timeliness_CC_224"/>
      <sheetName val="Front_page25"/>
      <sheetName val="Summary_Table25"/>
      <sheetName val="Summary_table_OLD25"/>
      <sheetName val="Timeliness_MC25"/>
      <sheetName val="Timeliness_CC25"/>
      <sheetName val="Fines_(excl)25"/>
      <sheetName val="CPS_-_Bench_Warrants25"/>
      <sheetName val="Community_Penalties25"/>
      <sheetName val="Sanction_Detections25"/>
      <sheetName val="FTA_Warrants25"/>
      <sheetName val="Record_of_changes25"/>
      <sheetName val="Timeliness_MC_225"/>
      <sheetName val="Timeliness_CC_225"/>
      <sheetName val="Front_page26"/>
      <sheetName val="Summary_Table26"/>
      <sheetName val="Summary_table_OLD26"/>
      <sheetName val="Timeliness_MC26"/>
      <sheetName val="Timeliness_CC26"/>
      <sheetName val="Fines_(excl)26"/>
      <sheetName val="CPS_-_Bench_Warrants26"/>
      <sheetName val="Community_Penalties26"/>
      <sheetName val="Sanction_Detections26"/>
      <sheetName val="FTA_Warrants26"/>
      <sheetName val="Record_of_changes26"/>
      <sheetName val="Timeliness_MC_226"/>
      <sheetName val="Timeliness_CC_226"/>
      <sheetName val="Front_page28"/>
      <sheetName val="Summary_Table28"/>
      <sheetName val="Summary_table_OLD28"/>
      <sheetName val="Timeliness_MC28"/>
      <sheetName val="Timeliness_CC28"/>
      <sheetName val="Fines_(excl)28"/>
      <sheetName val="CPS_-_Bench_Warrants28"/>
      <sheetName val="Community_Penalties28"/>
      <sheetName val="Sanction_Detections28"/>
      <sheetName val="FTA_Warrants28"/>
      <sheetName val="Record_of_changes28"/>
      <sheetName val="Timeliness_MC_228"/>
      <sheetName val="Timeliness_CC_228"/>
      <sheetName val="Front_page29"/>
      <sheetName val="Summary_Table29"/>
      <sheetName val="Summary_table_OLD29"/>
      <sheetName val="Timeliness_MC29"/>
      <sheetName val="Timeliness_CC29"/>
      <sheetName val="Fines_(excl)29"/>
      <sheetName val="CPS_-_Bench_Warrants29"/>
      <sheetName val="Community_Penalties29"/>
      <sheetName val="Sanction_Detections29"/>
      <sheetName val="FTA_Warrants29"/>
      <sheetName val="Record_of_changes29"/>
      <sheetName val="Timeliness_MC_229"/>
      <sheetName val="Timeliness_CC_229"/>
      <sheetName val="Front_page30"/>
      <sheetName val="Summary_Table30"/>
      <sheetName val="Summary_table_OLD30"/>
      <sheetName val="Timeliness_MC30"/>
      <sheetName val="Timeliness_CC30"/>
      <sheetName val="Fines_(excl)30"/>
      <sheetName val="CPS_-_Bench_Warrants30"/>
      <sheetName val="Community_Penalties30"/>
      <sheetName val="Sanction_Detections30"/>
      <sheetName val="FTA_Warrants30"/>
      <sheetName val="Record_of_changes30"/>
      <sheetName val="Timeliness_MC_230"/>
      <sheetName val="Timeliness_CC_230"/>
      <sheetName val="Front_page36"/>
      <sheetName val="Summary_Table36"/>
      <sheetName val="Summary_table_OLD36"/>
      <sheetName val="Timeliness_MC36"/>
      <sheetName val="Timeliness_CC36"/>
      <sheetName val="Fines_(excl)36"/>
      <sheetName val="CPS_-_Bench_Warrants36"/>
      <sheetName val="Community_Penalties36"/>
      <sheetName val="Sanction_Detections36"/>
      <sheetName val="FTA_Warrants36"/>
      <sheetName val="Record_of_changes36"/>
      <sheetName val="Timeliness_MC_236"/>
      <sheetName val="Timeliness_CC_236"/>
      <sheetName val="Front_page31"/>
      <sheetName val="Summary_Table31"/>
      <sheetName val="Summary_table_OLD31"/>
      <sheetName val="Timeliness_MC31"/>
      <sheetName val="Timeliness_CC31"/>
      <sheetName val="Fines_(excl)31"/>
      <sheetName val="CPS_-_Bench_Warrants31"/>
      <sheetName val="Community_Penalties31"/>
      <sheetName val="Sanction_Detections31"/>
      <sheetName val="FTA_Warrants31"/>
      <sheetName val="Record_of_changes31"/>
      <sheetName val="Timeliness_MC_231"/>
      <sheetName val="Timeliness_CC_231"/>
      <sheetName val="Front_page32"/>
      <sheetName val="Summary_Table32"/>
      <sheetName val="Summary_table_OLD32"/>
      <sheetName val="Timeliness_MC32"/>
      <sheetName val="Timeliness_CC32"/>
      <sheetName val="Fines_(excl)32"/>
      <sheetName val="CPS_-_Bench_Warrants32"/>
      <sheetName val="Community_Penalties32"/>
      <sheetName val="Sanction_Detections32"/>
      <sheetName val="FTA_Warrants32"/>
      <sheetName val="Record_of_changes32"/>
      <sheetName val="Timeliness_MC_232"/>
      <sheetName val="Timeliness_CC_232"/>
      <sheetName val="Front_page33"/>
      <sheetName val="Summary_Table33"/>
      <sheetName val="Summary_table_OLD33"/>
      <sheetName val="Timeliness_MC33"/>
      <sheetName val="Timeliness_CC33"/>
      <sheetName val="Fines_(excl)33"/>
      <sheetName val="CPS_-_Bench_Warrants33"/>
      <sheetName val="Community_Penalties33"/>
      <sheetName val="Sanction_Detections33"/>
      <sheetName val="FTA_Warrants33"/>
      <sheetName val="Record_of_changes33"/>
      <sheetName val="Timeliness_MC_233"/>
      <sheetName val="Timeliness_CC_233"/>
      <sheetName val="Front_page34"/>
      <sheetName val="Summary_Table34"/>
      <sheetName val="Summary_table_OLD34"/>
      <sheetName val="Timeliness_MC34"/>
      <sheetName val="Timeliness_CC34"/>
      <sheetName val="Fines_(excl)34"/>
      <sheetName val="CPS_-_Bench_Warrants34"/>
      <sheetName val="Community_Penalties34"/>
      <sheetName val="Sanction_Detections34"/>
      <sheetName val="FTA_Warrants34"/>
      <sheetName val="Record_of_changes34"/>
      <sheetName val="Timeliness_MC_234"/>
      <sheetName val="Timeliness_CC_234"/>
      <sheetName val="Front_page35"/>
      <sheetName val="Summary_Table35"/>
      <sheetName val="Summary_table_OLD35"/>
      <sheetName val="Timeliness_MC35"/>
      <sheetName val="Timeliness_CC35"/>
      <sheetName val="Fines_(excl)35"/>
      <sheetName val="CPS_-_Bench_Warrants35"/>
      <sheetName val="Community_Penalties35"/>
      <sheetName val="Sanction_Detections35"/>
      <sheetName val="FTA_Warrants35"/>
      <sheetName val="Record_of_changes35"/>
      <sheetName val="Timeliness_MC_235"/>
      <sheetName val="Timeliness_CC_235"/>
      <sheetName val="Front_page40"/>
      <sheetName val="Summary_Table40"/>
      <sheetName val="Summary_table_OLD40"/>
      <sheetName val="Timeliness_MC40"/>
      <sheetName val="Timeliness_CC40"/>
      <sheetName val="Fines_(excl)40"/>
      <sheetName val="CPS_-_Bench_Warrants40"/>
      <sheetName val="Community_Penalties40"/>
      <sheetName val="Sanction_Detections40"/>
      <sheetName val="FTA_Warrants40"/>
      <sheetName val="Record_of_changes40"/>
      <sheetName val="Timeliness_MC_240"/>
      <sheetName val="Timeliness_CC_240"/>
      <sheetName val="Front_page39"/>
      <sheetName val="Summary_Table39"/>
      <sheetName val="Summary_table_OLD39"/>
      <sheetName val="Timeliness_MC39"/>
      <sheetName val="Timeliness_CC39"/>
      <sheetName val="Fines_(excl)39"/>
      <sheetName val="CPS_-_Bench_Warrants39"/>
      <sheetName val="Community_Penalties39"/>
      <sheetName val="Sanction_Detections39"/>
      <sheetName val="FTA_Warrants39"/>
      <sheetName val="Record_of_changes39"/>
      <sheetName val="Timeliness_MC_239"/>
      <sheetName val="Timeliness_CC_239"/>
      <sheetName val="Front_page38"/>
      <sheetName val="Summary_Table38"/>
      <sheetName val="Summary_table_OLD38"/>
      <sheetName val="Timeliness_MC38"/>
      <sheetName val="Timeliness_CC38"/>
      <sheetName val="Fines_(excl)38"/>
      <sheetName val="CPS_-_Bench_Warrants38"/>
      <sheetName val="Community_Penalties38"/>
      <sheetName val="Sanction_Detections38"/>
      <sheetName val="FTA_Warrants38"/>
      <sheetName val="Record_of_changes38"/>
      <sheetName val="Timeliness_MC_238"/>
      <sheetName val="Timeliness_CC_238"/>
      <sheetName val="Front_page37"/>
      <sheetName val="Summary_Table37"/>
      <sheetName val="Summary_table_OLD37"/>
      <sheetName val="Timeliness_MC37"/>
      <sheetName val="Timeliness_CC37"/>
      <sheetName val="Fines_(excl)37"/>
      <sheetName val="CPS_-_Bench_Warrants37"/>
      <sheetName val="Community_Penalties37"/>
      <sheetName val="Sanction_Detections37"/>
      <sheetName val="FTA_Warrants37"/>
      <sheetName val="Record_of_changes37"/>
      <sheetName val="Timeliness_MC_237"/>
      <sheetName val="Timeliness_CC_237"/>
      <sheetName val="Front_page41"/>
      <sheetName val="Summary_Table41"/>
      <sheetName val="Summary_table_OLD41"/>
      <sheetName val="Timeliness_MC41"/>
      <sheetName val="Timeliness_CC41"/>
      <sheetName val="Fines_(excl)41"/>
      <sheetName val="CPS_-_Bench_Warrants41"/>
      <sheetName val="Community_Penalties41"/>
      <sheetName val="Sanction_Detections41"/>
      <sheetName val="FTA_Warrants41"/>
      <sheetName val="Record_of_changes41"/>
      <sheetName val="Timeliness_MC_241"/>
      <sheetName val="Timeliness_CC_241"/>
      <sheetName val="Front_page47"/>
      <sheetName val="Summary_Table47"/>
      <sheetName val="Summary_table_OLD47"/>
      <sheetName val="Timeliness_MC47"/>
      <sheetName val="Timeliness_CC47"/>
      <sheetName val="Fines_(excl)47"/>
      <sheetName val="CPS_-_Bench_Warrants47"/>
      <sheetName val="Community_Penalties47"/>
      <sheetName val="Sanction_Detections47"/>
      <sheetName val="FTA_Warrants47"/>
      <sheetName val="Record_of_changes47"/>
      <sheetName val="Timeliness_MC_247"/>
      <sheetName val="Timeliness_CC_247"/>
      <sheetName val="Front_page42"/>
      <sheetName val="Summary_Table42"/>
      <sheetName val="Summary_table_OLD42"/>
      <sheetName val="Timeliness_MC42"/>
      <sheetName val="Timeliness_CC42"/>
      <sheetName val="Fines_(excl)42"/>
      <sheetName val="CPS_-_Bench_Warrants42"/>
      <sheetName val="Community_Penalties42"/>
      <sheetName val="Sanction_Detections42"/>
      <sheetName val="FTA_Warrants42"/>
      <sheetName val="Record_of_changes42"/>
      <sheetName val="Timeliness_MC_242"/>
      <sheetName val="Timeliness_CC_242"/>
      <sheetName val="Front_page46"/>
      <sheetName val="Summary_Table46"/>
      <sheetName val="Summary_table_OLD46"/>
      <sheetName val="Timeliness_MC46"/>
      <sheetName val="Timeliness_CC46"/>
      <sheetName val="Fines_(excl)46"/>
      <sheetName val="CPS_-_Bench_Warrants46"/>
      <sheetName val="Community_Penalties46"/>
      <sheetName val="Sanction_Detections46"/>
      <sheetName val="FTA_Warrants46"/>
      <sheetName val="Record_of_changes46"/>
      <sheetName val="Timeliness_MC_246"/>
      <sheetName val="Timeliness_CC_246"/>
      <sheetName val="Front_page44"/>
      <sheetName val="Summary_Table44"/>
      <sheetName val="Summary_table_OLD44"/>
      <sheetName val="Timeliness_MC44"/>
      <sheetName val="Timeliness_CC44"/>
      <sheetName val="Fines_(excl)44"/>
      <sheetName val="CPS_-_Bench_Warrants44"/>
      <sheetName val="Community_Penalties44"/>
      <sheetName val="Sanction_Detections44"/>
      <sheetName val="FTA_Warrants44"/>
      <sheetName val="Record_of_changes44"/>
      <sheetName val="Timeliness_MC_244"/>
      <sheetName val="Timeliness_CC_244"/>
      <sheetName val="Front_page43"/>
      <sheetName val="Summary_Table43"/>
      <sheetName val="Summary_table_OLD43"/>
      <sheetName val="Timeliness_MC43"/>
      <sheetName val="Timeliness_CC43"/>
      <sheetName val="Fines_(excl)43"/>
      <sheetName val="CPS_-_Bench_Warrants43"/>
      <sheetName val="Community_Penalties43"/>
      <sheetName val="Sanction_Detections43"/>
      <sheetName val="FTA_Warrants43"/>
      <sheetName val="Record_of_changes43"/>
      <sheetName val="Timeliness_MC_243"/>
      <sheetName val="Timeliness_CC_243"/>
      <sheetName val="Front_page45"/>
      <sheetName val="Summary_Table45"/>
      <sheetName val="Summary_table_OLD45"/>
      <sheetName val="Timeliness_MC45"/>
      <sheetName val="Timeliness_CC45"/>
      <sheetName val="Fines_(excl)45"/>
      <sheetName val="CPS_-_Bench_Warrants45"/>
      <sheetName val="Community_Penalties45"/>
      <sheetName val="Sanction_Detections45"/>
      <sheetName val="FTA_Warrants45"/>
      <sheetName val="Record_of_changes45"/>
      <sheetName val="Timeliness_MC_245"/>
      <sheetName val="Timeliness_CC_245"/>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r - Aug 01"/>
      <sheetName val="Sep - Nov 01"/>
      <sheetName val="Dec 01 - Feb 02"/>
      <sheetName val="Mar - May 02"/>
      <sheetName val="Apr_-_Aug_013"/>
      <sheetName val="Sep_-_Nov_013"/>
      <sheetName val="Dec_01_-_Feb_023"/>
      <sheetName val="Mar_-_May_023"/>
      <sheetName val="Apr_-_Aug_01"/>
      <sheetName val="Sep_-_Nov_01"/>
      <sheetName val="Dec_01_-_Feb_02"/>
      <sheetName val="Mar_-_May_02"/>
      <sheetName val="Apr_-_Aug_012"/>
      <sheetName val="Sep_-_Nov_012"/>
      <sheetName val="Dec_01_-_Feb_022"/>
      <sheetName val="Mar_-_May_022"/>
      <sheetName val="Apr_-_Aug_011"/>
      <sheetName val="Sep_-_Nov_011"/>
      <sheetName val="Dec_01_-_Feb_021"/>
      <sheetName val="Mar_-_May_021"/>
      <sheetName val="Apr_-_Aug_014"/>
      <sheetName val="Sep_-_Nov_014"/>
      <sheetName val="Dec_01_-_Feb_024"/>
      <sheetName val="Mar_-_May_024"/>
      <sheetName val="Apr_-_Aug_015"/>
      <sheetName val="Sep_-_Nov_015"/>
      <sheetName val="Dec_01_-_Feb_025"/>
      <sheetName val="Mar_-_May_025"/>
      <sheetName val="Apr_-_Aug_018"/>
      <sheetName val="Sep_-_Nov_018"/>
      <sheetName val="Dec_01_-_Feb_028"/>
      <sheetName val="Mar_-_May_028"/>
      <sheetName val="Apr_-_Aug_017"/>
      <sheetName val="Sep_-_Nov_017"/>
      <sheetName val="Dec_01_-_Feb_027"/>
      <sheetName val="Mar_-_May_027"/>
      <sheetName val="Apr_-_Aug_016"/>
      <sheetName val="Sep_-_Nov_016"/>
      <sheetName val="Dec_01_-_Feb_026"/>
      <sheetName val="Mar_-_May_026"/>
      <sheetName val="Apr_-_Aug_0111"/>
      <sheetName val="Sep_-_Nov_0111"/>
      <sheetName val="Dec_01_-_Feb_0211"/>
      <sheetName val="Mar_-_May_0211"/>
      <sheetName val="Apr_-_Aug_019"/>
      <sheetName val="Sep_-_Nov_019"/>
      <sheetName val="Dec_01_-_Feb_029"/>
      <sheetName val="Mar_-_May_029"/>
      <sheetName val="Apr_-_Aug_0110"/>
      <sheetName val="Sep_-_Nov_0110"/>
      <sheetName val="Dec_01_-_Feb_0210"/>
      <sheetName val="Mar_-_May_0210"/>
      <sheetName val="Apr_-_Aug_0113"/>
      <sheetName val="Sep_-_Nov_0113"/>
      <sheetName val="Dec_01_-_Feb_0213"/>
      <sheetName val="Mar_-_May_0213"/>
      <sheetName val="Apr_-_Aug_0112"/>
      <sheetName val="Sep_-_Nov_0112"/>
      <sheetName val="Dec_01_-_Feb_0212"/>
      <sheetName val="Mar_-_May_0212"/>
      <sheetName val="Apr_-_Aug_0114"/>
      <sheetName val="Sep_-_Nov_0114"/>
      <sheetName val="Dec_01_-_Feb_0214"/>
      <sheetName val="Mar_-_May_0214"/>
      <sheetName val="Apr_-_Aug_0115"/>
      <sheetName val="Sep_-_Nov_0115"/>
      <sheetName val="Dec_01_-_Feb_0215"/>
      <sheetName val="Mar_-_May_0215"/>
      <sheetName val="Apr_-_Aug_0119"/>
      <sheetName val="Sep_-_Nov_0119"/>
      <sheetName val="Dec_01_-_Feb_0219"/>
      <sheetName val="Mar_-_May_0219"/>
      <sheetName val="Apr_-_Aug_0116"/>
      <sheetName val="Sep_-_Nov_0116"/>
      <sheetName val="Dec_01_-_Feb_0216"/>
      <sheetName val="Mar_-_May_0216"/>
      <sheetName val="Apr_-_Aug_0117"/>
      <sheetName val="Sep_-_Nov_0117"/>
      <sheetName val="Dec_01_-_Feb_0217"/>
      <sheetName val="Mar_-_May_0217"/>
      <sheetName val="Apr_-_Aug_0118"/>
      <sheetName val="Sep_-_Nov_0118"/>
      <sheetName val="Dec_01_-_Feb_0218"/>
      <sheetName val="Mar_-_May_0218"/>
      <sheetName val="Apr_-_Aug_0123"/>
      <sheetName val="Sep_-_Nov_0123"/>
      <sheetName val="Dec_01_-_Feb_0223"/>
      <sheetName val="Mar_-_May_0223"/>
      <sheetName val="Apr_-_Aug_0120"/>
      <sheetName val="Sep_-_Nov_0120"/>
      <sheetName val="Dec_01_-_Feb_0220"/>
      <sheetName val="Mar_-_May_0220"/>
      <sheetName val="Apr_-_Aug_0121"/>
      <sheetName val="Sep_-_Nov_0121"/>
      <sheetName val="Dec_01_-_Feb_0221"/>
      <sheetName val="Mar_-_May_0221"/>
      <sheetName val="Apr_-_Aug_0122"/>
      <sheetName val="Sep_-_Nov_0122"/>
      <sheetName val="Dec_01_-_Feb_0222"/>
      <sheetName val="Mar_-_May_0222"/>
      <sheetName val="Apr_-_Aug_0127"/>
      <sheetName val="Sep_-_Nov_0127"/>
      <sheetName val="Dec_01_-_Feb_0227"/>
      <sheetName val="Mar_-_May_0227"/>
      <sheetName val="Apr_-_Aug_0124"/>
      <sheetName val="Sep_-_Nov_0124"/>
      <sheetName val="Dec_01_-_Feb_0224"/>
      <sheetName val="Mar_-_May_0224"/>
      <sheetName val="Apr_-_Aug_0125"/>
      <sheetName val="Sep_-_Nov_0125"/>
      <sheetName val="Dec_01_-_Feb_0225"/>
      <sheetName val="Mar_-_May_0225"/>
      <sheetName val="Apr_-_Aug_0126"/>
      <sheetName val="Sep_-_Nov_0126"/>
      <sheetName val="Dec_01_-_Feb_0226"/>
      <sheetName val="Mar_-_May_0226"/>
      <sheetName val="Apr_-_Aug_0128"/>
      <sheetName val="Sep_-_Nov_0128"/>
      <sheetName val="Dec_01_-_Feb_0228"/>
      <sheetName val="Mar_-_May_0228"/>
      <sheetName val="Apr_-_Aug_0129"/>
      <sheetName val="Sep_-_Nov_0129"/>
      <sheetName val="Dec_01_-_Feb_0229"/>
      <sheetName val="Mar_-_May_0229"/>
      <sheetName val="Apr_-_Aug_0130"/>
      <sheetName val="Sep_-_Nov_0130"/>
      <sheetName val="Dec_01_-_Feb_0230"/>
      <sheetName val="Mar_-_May_0230"/>
      <sheetName val="Apr_-_Aug_0136"/>
      <sheetName val="Sep_-_Nov_0136"/>
      <sheetName val="Dec_01_-_Feb_0236"/>
      <sheetName val="Mar_-_May_0236"/>
      <sheetName val="Apr_-_Aug_0131"/>
      <sheetName val="Sep_-_Nov_0131"/>
      <sheetName val="Dec_01_-_Feb_0231"/>
      <sheetName val="Mar_-_May_0231"/>
      <sheetName val="Apr_-_Aug_0132"/>
      <sheetName val="Sep_-_Nov_0132"/>
      <sheetName val="Dec_01_-_Feb_0232"/>
      <sheetName val="Mar_-_May_0232"/>
      <sheetName val="Apr_-_Aug_0133"/>
      <sheetName val="Sep_-_Nov_0133"/>
      <sheetName val="Dec_01_-_Feb_0233"/>
      <sheetName val="Mar_-_May_0233"/>
      <sheetName val="Apr_-_Aug_0134"/>
      <sheetName val="Sep_-_Nov_0134"/>
      <sheetName val="Dec_01_-_Feb_0234"/>
      <sheetName val="Mar_-_May_0234"/>
      <sheetName val="Apr_-_Aug_0135"/>
      <sheetName val="Sep_-_Nov_0135"/>
      <sheetName val="Dec_01_-_Feb_0235"/>
      <sheetName val="Mar_-_May_0235"/>
      <sheetName val="Apr_-_Aug_0140"/>
      <sheetName val="Sep_-_Nov_0140"/>
      <sheetName val="Dec_01_-_Feb_0240"/>
      <sheetName val="Mar_-_May_0240"/>
      <sheetName val="Apr_-_Aug_0139"/>
      <sheetName val="Sep_-_Nov_0139"/>
      <sheetName val="Dec_01_-_Feb_0239"/>
      <sheetName val="Mar_-_May_0239"/>
      <sheetName val="Apr_-_Aug_0138"/>
      <sheetName val="Sep_-_Nov_0138"/>
      <sheetName val="Dec_01_-_Feb_0238"/>
      <sheetName val="Mar_-_May_0238"/>
      <sheetName val="Apr_-_Aug_0137"/>
      <sheetName val="Sep_-_Nov_0137"/>
      <sheetName val="Dec_01_-_Feb_0237"/>
      <sheetName val="Mar_-_May_0237"/>
      <sheetName val="Apr_-_Aug_0141"/>
      <sheetName val="Sep_-_Nov_0141"/>
      <sheetName val="Dec_01_-_Feb_0241"/>
      <sheetName val="Mar_-_May_0241"/>
      <sheetName val="Apr_-_Aug_0147"/>
      <sheetName val="Sep_-_Nov_0147"/>
      <sheetName val="Dec_01_-_Feb_0247"/>
      <sheetName val="Mar_-_May_0247"/>
      <sheetName val="Apr_-_Aug_0142"/>
      <sheetName val="Sep_-_Nov_0142"/>
      <sheetName val="Dec_01_-_Feb_0242"/>
      <sheetName val="Mar_-_May_0242"/>
      <sheetName val="Apr_-_Aug_0146"/>
      <sheetName val="Sep_-_Nov_0146"/>
      <sheetName val="Dec_01_-_Feb_0246"/>
      <sheetName val="Mar_-_May_0246"/>
      <sheetName val="Apr_-_Aug_0144"/>
      <sheetName val="Sep_-_Nov_0144"/>
      <sheetName val="Dec_01_-_Feb_0244"/>
      <sheetName val="Mar_-_May_0244"/>
      <sheetName val="Apr_-_Aug_0143"/>
      <sheetName val="Sep_-_Nov_0143"/>
      <sheetName val="Dec_01_-_Feb_0243"/>
      <sheetName val="Mar_-_May_0243"/>
      <sheetName val="Apr_-_Aug_0145"/>
      <sheetName val="Sep_-_Nov_0145"/>
      <sheetName val="Dec_01_-_Feb_0245"/>
      <sheetName val="Mar_-_May_0245"/>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Table 1.1"/>
      <sheetName val="Table 1.3"/>
      <sheetName val="Table 1.4"/>
      <sheetName val="Table 1.5"/>
      <sheetName val="Table 1.6"/>
      <sheetName val="Figure 1.1"/>
      <sheetName val="Figure1.2"/>
      <sheetName val="OverviewTables"/>
      <sheetName val="OffencesActivity11Yrs"/>
      <sheetName val="OffencesOverview3yrs"/>
      <sheetName val="Offences"/>
      <sheetName val="OffendersOverview11yrs"/>
      <sheetName val="OffencesSummary"/>
      <sheetName val="2009-2010Indictable"/>
      <sheetName val="Offence Groups"/>
      <sheetName val="CJS"/>
      <sheetName val="RecordedCrime"/>
      <sheetName val="Sentencing"/>
      <sheetName val="Proven Offending"/>
      <sheetName val="ConvictionRate"/>
      <sheetName val="Convictions"/>
      <sheetName val="Proceedings"/>
      <sheetName val="OutOfCourtAndCourtDisposals"/>
      <sheetName val="AllOffences"/>
      <sheetName val="Table_1_1"/>
      <sheetName val="Table_1_3"/>
      <sheetName val="Table_1_4"/>
      <sheetName val="Table_1_5"/>
      <sheetName val="Table_1_6"/>
      <sheetName val="Figure_1_1"/>
      <sheetName val="Figure1_2"/>
      <sheetName val="Offence_Groups"/>
      <sheetName val="Proven_Offending"/>
      <sheetName val="Table_1_11"/>
      <sheetName val="Table_1_31"/>
      <sheetName val="Table_1_41"/>
      <sheetName val="Table_1_51"/>
      <sheetName val="Table_1_61"/>
      <sheetName val="Figure_1_11"/>
      <sheetName val="Figure1_21"/>
      <sheetName val="Offence_Groups1"/>
      <sheetName val="Proven_Offending1"/>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ow r="18">
          <cell r="B18">
            <v>2000</v>
          </cell>
          <cell r="C18">
            <v>2001</v>
          </cell>
          <cell r="D18">
            <v>2002</v>
          </cell>
          <cell r="E18">
            <v>2003</v>
          </cell>
          <cell r="F18">
            <v>2004</v>
          </cell>
          <cell r="G18">
            <v>2005</v>
          </cell>
          <cell r="H18">
            <v>2006</v>
          </cell>
          <cell r="I18">
            <v>2007</v>
          </cell>
          <cell r="J18">
            <v>2008</v>
          </cell>
          <cell r="K18">
            <v>2009</v>
          </cell>
          <cell r="L18">
            <v>2010</v>
          </cell>
        </row>
        <row r="19">
          <cell r="A19" t="str">
            <v>Violence against the person</v>
          </cell>
          <cell r="B19">
            <v>310943</v>
          </cell>
          <cell r="C19">
            <v>312812</v>
          </cell>
          <cell r="D19">
            <v>324428</v>
          </cell>
          <cell r="E19">
            <v>346763</v>
          </cell>
          <cell r="F19">
            <v>369877</v>
          </cell>
          <cell r="G19">
            <v>355936</v>
          </cell>
          <cell r="H19">
            <v>352973</v>
          </cell>
          <cell r="I19">
            <v>352405</v>
          </cell>
          <cell r="J19">
            <v>326171</v>
          </cell>
          <cell r="K19">
            <v>334609</v>
          </cell>
          <cell r="L19">
            <v>340315</v>
          </cell>
        </row>
        <row r="20">
          <cell r="A20" t="str">
            <v>Sexual Offences</v>
          </cell>
          <cell r="B20">
            <v>22320</v>
          </cell>
          <cell r="C20">
            <v>24489</v>
          </cell>
          <cell r="D20">
            <v>24775</v>
          </cell>
          <cell r="E20">
            <v>25915</v>
          </cell>
          <cell r="F20">
            <v>27069</v>
          </cell>
          <cell r="G20">
            <v>27221</v>
          </cell>
          <cell r="H20">
            <v>27003</v>
          </cell>
          <cell r="I20">
            <v>25980</v>
          </cell>
          <cell r="J20">
            <v>21169</v>
          </cell>
          <cell r="K20">
            <v>26875</v>
          </cell>
          <cell r="L20">
            <v>31337</v>
          </cell>
        </row>
        <row r="21">
          <cell r="A21" t="str">
            <v>Burglary</v>
          </cell>
          <cell r="B21">
            <v>68699</v>
          </cell>
          <cell r="C21">
            <v>67424</v>
          </cell>
          <cell r="D21">
            <v>70075</v>
          </cell>
          <cell r="E21">
            <v>65985</v>
          </cell>
          <cell r="F21">
            <v>54985</v>
          </cell>
          <cell r="G21">
            <v>48240</v>
          </cell>
          <cell r="H21">
            <v>45669</v>
          </cell>
          <cell r="I21">
            <v>45866</v>
          </cell>
          <cell r="J21">
            <v>44332</v>
          </cell>
          <cell r="K21">
            <v>44030</v>
          </cell>
          <cell r="L21">
            <v>45192</v>
          </cell>
        </row>
        <row r="22">
          <cell r="A22" t="str">
            <v>Robbery</v>
          </cell>
          <cell r="B22">
            <v>19676</v>
          </cell>
          <cell r="C22">
            <v>23035</v>
          </cell>
          <cell r="D22">
            <v>24085</v>
          </cell>
          <cell r="E22">
            <v>21088</v>
          </cell>
          <cell r="F22">
            <v>19304</v>
          </cell>
          <cell r="G22">
            <v>18877</v>
          </cell>
          <cell r="H22">
            <v>20291</v>
          </cell>
          <cell r="I22">
            <v>21616</v>
          </cell>
          <cell r="J22">
            <v>19506</v>
          </cell>
          <cell r="K22">
            <v>19687</v>
          </cell>
          <cell r="L22">
            <v>19250</v>
          </cell>
        </row>
        <row r="23">
          <cell r="A23" t="str">
            <v>Theft and handling stolen goods</v>
          </cell>
          <cell r="B23">
            <v>325847</v>
          </cell>
          <cell r="C23">
            <v>323635</v>
          </cell>
          <cell r="D23">
            <v>323517</v>
          </cell>
          <cell r="E23">
            <v>304509</v>
          </cell>
          <cell r="F23">
            <v>263841</v>
          </cell>
          <cell r="G23">
            <v>236247</v>
          </cell>
          <cell r="H23">
            <v>220642</v>
          </cell>
          <cell r="I23">
            <v>224423</v>
          </cell>
          <cell r="J23">
            <v>215665</v>
          </cell>
          <cell r="K23">
            <v>214634</v>
          </cell>
          <cell r="L23">
            <v>218083</v>
          </cell>
        </row>
        <row r="24">
          <cell r="A24" t="str">
            <v>Fraud and forgery</v>
          </cell>
          <cell r="B24">
            <v>87483</v>
          </cell>
          <cell r="C24">
            <v>81814</v>
          </cell>
          <cell r="D24">
            <v>78284</v>
          </cell>
          <cell r="E24">
            <v>76634</v>
          </cell>
          <cell r="F24">
            <v>70860</v>
          </cell>
          <cell r="G24">
            <v>62886</v>
          </cell>
          <cell r="H24">
            <v>54275</v>
          </cell>
          <cell r="I24">
            <v>52612</v>
          </cell>
          <cell r="J24">
            <v>55027</v>
          </cell>
          <cell r="K24">
            <v>70716</v>
          </cell>
          <cell r="L24">
            <v>72373</v>
          </cell>
        </row>
        <row r="25">
          <cell r="A25" t="str">
            <v>Criminal damage</v>
          </cell>
          <cell r="B25">
            <v>92508</v>
          </cell>
          <cell r="C25">
            <v>91704</v>
          </cell>
          <cell r="D25">
            <v>94691</v>
          </cell>
          <cell r="E25">
            <v>98734</v>
          </cell>
          <cell r="F25">
            <v>97984</v>
          </cell>
          <cell r="G25">
            <v>94551</v>
          </cell>
          <cell r="H25">
            <v>92820</v>
          </cell>
          <cell r="I25">
            <v>92237</v>
          </cell>
          <cell r="J25">
            <v>84805</v>
          </cell>
          <cell r="K25">
            <v>82614</v>
          </cell>
          <cell r="L25">
            <v>80276</v>
          </cell>
        </row>
        <row r="26">
          <cell r="A26" t="str">
            <v>Drug offences</v>
          </cell>
          <cell r="B26">
            <v>95806</v>
          </cell>
          <cell r="C26">
            <v>98766</v>
          </cell>
          <cell r="D26">
            <v>102936</v>
          </cell>
          <cell r="E26">
            <v>106780</v>
          </cell>
          <cell r="F26">
            <v>85979</v>
          </cell>
          <cell r="G26">
            <v>82315</v>
          </cell>
          <cell r="H26">
            <v>82343</v>
          </cell>
          <cell r="I26">
            <v>88386</v>
          </cell>
          <cell r="J26">
            <v>97357</v>
          </cell>
          <cell r="K26">
            <v>100482</v>
          </cell>
          <cell r="L26">
            <v>111602</v>
          </cell>
        </row>
        <row r="27">
          <cell r="A27" t="str">
            <v>Other notifiable offences</v>
          </cell>
          <cell r="B27">
            <v>87116</v>
          </cell>
          <cell r="C27">
            <v>87574</v>
          </cell>
          <cell r="D27">
            <v>90737</v>
          </cell>
          <cell r="E27">
            <v>102640</v>
          </cell>
          <cell r="F27">
            <v>90922</v>
          </cell>
          <cell r="G27">
            <v>89770</v>
          </cell>
          <cell r="H27">
            <v>85058</v>
          </cell>
          <cell r="I27">
            <v>81226</v>
          </cell>
          <cell r="J27">
            <v>88883</v>
          </cell>
          <cell r="K27">
            <v>102120</v>
          </cell>
          <cell r="L27">
            <v>108570</v>
          </cell>
        </row>
        <row r="28">
          <cell r="A28" t="str">
            <v>All notifiable offences</v>
          </cell>
          <cell r="B28">
            <v>1110398</v>
          </cell>
          <cell r="C28">
            <v>1111253</v>
          </cell>
          <cell r="D28">
            <v>1133528</v>
          </cell>
          <cell r="E28">
            <v>1149048</v>
          </cell>
          <cell r="F28">
            <v>1080821</v>
          </cell>
          <cell r="G28">
            <v>1016043</v>
          </cell>
          <cell r="H28">
            <v>981074</v>
          </cell>
          <cell r="I28">
            <v>984751</v>
          </cell>
          <cell r="J28">
            <v>952915</v>
          </cell>
          <cell r="K28">
            <v>995767</v>
          </cell>
          <cell r="L28">
            <v>1026998</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Summary"/>
      <sheetName val="Common values"/>
      <sheetName val="Table 5.1"/>
      <sheetName val="5.1 pivot"/>
      <sheetName val="Table 5.2"/>
      <sheetName val="5.2 Pivot"/>
      <sheetName val="VT pivot"/>
      <sheetName val="VT working sheet"/>
      <sheetName val="5.2 data"/>
      <sheetName val="5.2 CW TIC summary"/>
      <sheetName val="5.2 CW TIC pivot"/>
      <sheetName val="5.2 PND data"/>
      <sheetName val="5.2 CW TIC data"/>
      <sheetName val="Table 5.3"/>
      <sheetName val="5.3 pivot"/>
      <sheetName val="Table 5.4"/>
      <sheetName val="5.4 pivot"/>
      <sheetName val="5.3 &amp; 5.4 data"/>
      <sheetName val="Table 5a"/>
      <sheetName val="5a Pivot"/>
      <sheetName val="Table 5b"/>
      <sheetName val="5b TIC Pivot"/>
      <sheetName val="5b PND pivot"/>
      <sheetName val="5b CW pivot"/>
      <sheetName val="5b Cautions pivot"/>
      <sheetName val="5b Convictions pivot"/>
      <sheetName val="Table 5c"/>
      <sheetName val="5C summary"/>
      <sheetName val="Cautions convictions 2009 pivot"/>
      <sheetName val="Cautions convictions 2010 pivot"/>
      <sheetName val="TIC CW 2009 pivot"/>
      <sheetName val="TIC CW 2010 pivot"/>
      <sheetName val="5c cautions convictions data"/>
      <sheetName val="5c PND data"/>
      <sheetName val="5c TIC CW data"/>
      <sheetName val="Table 5d"/>
      <sheetName val="5d summary"/>
      <sheetName val="5d RC summary"/>
      <sheetName val="5d CW summary"/>
      <sheetName val="5d TIC summary"/>
      <sheetName val="5d RC pivot"/>
      <sheetName val="5d CW Pivot"/>
      <sheetName val="5d TIC Pivot"/>
      <sheetName val="5d RC data"/>
      <sheetName val="5d CW TIC data"/>
      <sheetName val="5d data (2)"/>
      <sheetName val="5d data"/>
      <sheetName val="Table 7.1"/>
      <sheetName val="7.1 pivot"/>
      <sheetName val="Table 7.3"/>
      <sheetName val="7.3 pivot"/>
      <sheetName val="5.1 in text"/>
      <sheetName val="TIC pre-2004"/>
      <sheetName val="Data-short trend"/>
      <sheetName val="Common_values1"/>
      <sheetName val="Table_5_11"/>
      <sheetName val="5_1_pivot1"/>
      <sheetName val="Table_5_21"/>
      <sheetName val="5_2_Pivot1"/>
      <sheetName val="VT_pivot1"/>
      <sheetName val="VT_working_sheet1"/>
      <sheetName val="5_2_data1"/>
      <sheetName val="5_2_CW_TIC_summary1"/>
      <sheetName val="5_2_CW_TIC_pivot1"/>
      <sheetName val="5_2_PND_data1"/>
      <sheetName val="5_2_CW_TIC_data1"/>
      <sheetName val="Table_5_31"/>
      <sheetName val="5_3_pivot1"/>
      <sheetName val="Table_5_41"/>
      <sheetName val="5_4_pivot1"/>
      <sheetName val="5_3_&amp;_5_4_data1"/>
      <sheetName val="Table_5a1"/>
      <sheetName val="5a_Pivot1"/>
      <sheetName val="Table_5b1"/>
      <sheetName val="5b_TIC_Pivot1"/>
      <sheetName val="5b_PND_pivot1"/>
      <sheetName val="5b_CW_pivot1"/>
      <sheetName val="5b_Cautions_pivot1"/>
      <sheetName val="5b_Convictions_pivot1"/>
      <sheetName val="Table_5c1"/>
      <sheetName val="5C_summary1"/>
      <sheetName val="Cautions_convictions_2009_pivo1"/>
      <sheetName val="Cautions_convictions_2010_pivo1"/>
      <sheetName val="TIC_CW_2009_pivot1"/>
      <sheetName val="TIC_CW_2010_pivot1"/>
      <sheetName val="5c_cautions_convictions_data1"/>
      <sheetName val="5c_PND_data1"/>
      <sheetName val="5c_TIC_CW_data1"/>
      <sheetName val="Table_5d1"/>
      <sheetName val="5d_summary1"/>
      <sheetName val="5d_RC_summary1"/>
      <sheetName val="5d_CW_summary1"/>
      <sheetName val="5d_TIC_summary1"/>
      <sheetName val="5d_RC_pivot1"/>
      <sheetName val="5d_CW_Pivot1"/>
      <sheetName val="5d_TIC_Pivot1"/>
      <sheetName val="5d_RC_data1"/>
      <sheetName val="5d_CW_TIC_data1"/>
      <sheetName val="5d_data_(2)1"/>
      <sheetName val="5d_data1"/>
      <sheetName val="Table_7_11"/>
      <sheetName val="7_1_pivot1"/>
      <sheetName val="Table_7_31"/>
      <sheetName val="7_3_pivot1"/>
      <sheetName val="5_1_in_text1"/>
      <sheetName val="TIC_pre-20041"/>
      <sheetName val="Data-short_trend1"/>
      <sheetName val="Common_values"/>
      <sheetName val="Table_5_1"/>
      <sheetName val="5_1_pivot"/>
      <sheetName val="Table_5_2"/>
      <sheetName val="5_2_Pivot"/>
      <sheetName val="VT_pivot"/>
      <sheetName val="VT_working_sheet"/>
      <sheetName val="5_2_data"/>
      <sheetName val="5_2_CW_TIC_summary"/>
      <sheetName val="5_2_CW_TIC_pivot"/>
      <sheetName val="5_2_PND_data"/>
      <sheetName val="5_2_CW_TIC_data"/>
      <sheetName val="Table_5_3"/>
      <sheetName val="5_3_pivot"/>
      <sheetName val="Table_5_4"/>
      <sheetName val="5_4_pivot"/>
      <sheetName val="5_3_&amp;_5_4_data"/>
      <sheetName val="Table_5a"/>
      <sheetName val="5a_Pivot"/>
      <sheetName val="Table_5b"/>
      <sheetName val="5b_TIC_Pivot"/>
      <sheetName val="5b_PND_pivot"/>
      <sheetName val="5b_CW_pivot"/>
      <sheetName val="5b_Cautions_pivot"/>
      <sheetName val="5b_Convictions_pivot"/>
      <sheetName val="Table_5c"/>
      <sheetName val="5C_summary"/>
      <sheetName val="Cautions_convictions_2009_pivot"/>
      <sheetName val="Cautions_convictions_2010_pivot"/>
      <sheetName val="TIC_CW_2009_pivot"/>
      <sheetName val="TIC_CW_2010_pivot"/>
      <sheetName val="5c_cautions_convictions_data"/>
      <sheetName val="5c_PND_data"/>
      <sheetName val="5c_TIC_CW_data"/>
      <sheetName val="Table_5d"/>
      <sheetName val="5d_summary"/>
      <sheetName val="5d_RC_summary"/>
      <sheetName val="5d_CW_summary"/>
      <sheetName val="5d_TIC_summary"/>
      <sheetName val="5d_RC_pivot"/>
      <sheetName val="5d_CW_Pivot"/>
      <sheetName val="5d_TIC_Pivot"/>
      <sheetName val="5d_RC_data"/>
      <sheetName val="5d_CW_TIC_data"/>
      <sheetName val="5d_data_(2)"/>
      <sheetName val="5d_data"/>
      <sheetName val="Table_7_1"/>
      <sheetName val="7_1_pivot"/>
      <sheetName val="Table_7_3"/>
      <sheetName val="7_3_pivot"/>
      <sheetName val="5_1_in_text"/>
      <sheetName val="TIC_pre-2004"/>
      <sheetName val="Data-short_trend"/>
      <sheetName val="Common_values16"/>
      <sheetName val="Table_5_116"/>
      <sheetName val="5_1_pivot16"/>
      <sheetName val="Table_5_216"/>
      <sheetName val="5_2_Pivot16"/>
      <sheetName val="VT_pivot16"/>
      <sheetName val="VT_working_sheet16"/>
      <sheetName val="5_2_data16"/>
      <sheetName val="5_2_CW_TIC_summary16"/>
      <sheetName val="5_2_CW_TIC_pivot16"/>
      <sheetName val="5_2_PND_data16"/>
      <sheetName val="5_2_CW_TIC_data16"/>
      <sheetName val="Table_5_316"/>
      <sheetName val="5_3_pivot16"/>
      <sheetName val="Table_5_416"/>
      <sheetName val="5_4_pivot16"/>
      <sheetName val="5_3_&amp;_5_4_data16"/>
      <sheetName val="Table_5a16"/>
      <sheetName val="5a_Pivot16"/>
      <sheetName val="Table_5b16"/>
      <sheetName val="5b_TIC_Pivot16"/>
      <sheetName val="5b_PND_pivot16"/>
      <sheetName val="5b_CW_pivot16"/>
      <sheetName val="5b_Cautions_pivot16"/>
      <sheetName val="5b_Convictions_pivot16"/>
      <sheetName val="Table_5c16"/>
      <sheetName val="5C_summary16"/>
      <sheetName val="Cautions_convictions_2009_piv16"/>
      <sheetName val="Cautions_convictions_2010_piv16"/>
      <sheetName val="TIC_CW_2009_pivot16"/>
      <sheetName val="TIC_CW_2010_pivot16"/>
      <sheetName val="5c_cautions_convictions_data16"/>
      <sheetName val="5c_PND_data16"/>
      <sheetName val="5c_TIC_CW_data16"/>
      <sheetName val="Table_5d16"/>
      <sheetName val="5d_summary16"/>
      <sheetName val="5d_RC_summary16"/>
      <sheetName val="5d_CW_summary16"/>
      <sheetName val="5d_TIC_summary16"/>
      <sheetName val="5d_RC_pivot16"/>
      <sheetName val="5d_CW_Pivot16"/>
      <sheetName val="5d_TIC_Pivot16"/>
      <sheetName val="5d_RC_data16"/>
      <sheetName val="5d_CW_TIC_data16"/>
      <sheetName val="5d_data_(2)16"/>
      <sheetName val="5d_data16"/>
      <sheetName val="Table_7_116"/>
      <sheetName val="7_1_pivot16"/>
      <sheetName val="Table_7_316"/>
      <sheetName val="7_3_pivot16"/>
      <sheetName val="5_1_in_text16"/>
      <sheetName val="TIC_pre-200416"/>
      <sheetName val="Data-short_trend16"/>
      <sheetName val="Common_values2"/>
      <sheetName val="Table_5_12"/>
      <sheetName val="5_1_pivot2"/>
      <sheetName val="Table_5_22"/>
      <sheetName val="5_2_Pivot2"/>
      <sheetName val="VT_pivot2"/>
      <sheetName val="VT_working_sheet2"/>
      <sheetName val="5_2_data2"/>
      <sheetName val="5_2_CW_TIC_summary2"/>
      <sheetName val="5_2_CW_TIC_pivot2"/>
      <sheetName val="5_2_PND_data2"/>
      <sheetName val="5_2_CW_TIC_data2"/>
      <sheetName val="Table_5_32"/>
      <sheetName val="5_3_pivot2"/>
      <sheetName val="Table_5_42"/>
      <sheetName val="5_4_pivot2"/>
      <sheetName val="5_3_&amp;_5_4_data2"/>
      <sheetName val="Table_5a2"/>
      <sheetName val="5a_Pivot2"/>
      <sheetName val="Table_5b2"/>
      <sheetName val="5b_TIC_Pivot2"/>
      <sheetName val="5b_PND_pivot2"/>
      <sheetName val="5b_CW_pivot2"/>
      <sheetName val="5b_Cautions_pivot2"/>
      <sheetName val="5b_Convictions_pivot2"/>
      <sheetName val="Table_5c2"/>
      <sheetName val="5C_summary2"/>
      <sheetName val="Cautions_convictions_2009_pivo2"/>
      <sheetName val="Cautions_convictions_2010_pivo2"/>
      <sheetName val="TIC_CW_2009_pivot2"/>
      <sheetName val="TIC_CW_2010_pivot2"/>
      <sheetName val="5c_cautions_convictions_data2"/>
      <sheetName val="5c_PND_data2"/>
      <sheetName val="5c_TIC_CW_data2"/>
      <sheetName val="Table_5d2"/>
      <sheetName val="5d_summary2"/>
      <sheetName val="5d_RC_summary2"/>
      <sheetName val="5d_CW_summary2"/>
      <sheetName val="5d_TIC_summary2"/>
      <sheetName val="5d_RC_pivot2"/>
      <sheetName val="5d_CW_Pivot2"/>
      <sheetName val="5d_TIC_Pivot2"/>
      <sheetName val="5d_RC_data2"/>
      <sheetName val="5d_CW_TIC_data2"/>
      <sheetName val="5d_data_(2)2"/>
      <sheetName val="5d_data2"/>
      <sheetName val="Table_7_12"/>
      <sheetName val="7_1_pivot2"/>
      <sheetName val="Table_7_32"/>
      <sheetName val="7_3_pivot2"/>
      <sheetName val="5_1_in_text2"/>
      <sheetName val="TIC_pre-20042"/>
      <sheetName val="Data-short_trend2"/>
      <sheetName val="Common_values3"/>
      <sheetName val="Table_5_13"/>
      <sheetName val="5_1_pivot3"/>
      <sheetName val="Table_5_23"/>
      <sheetName val="5_2_Pivot3"/>
      <sheetName val="VT_pivot3"/>
      <sheetName val="VT_working_sheet3"/>
      <sheetName val="5_2_data3"/>
      <sheetName val="5_2_CW_TIC_summary3"/>
      <sheetName val="5_2_CW_TIC_pivot3"/>
      <sheetName val="5_2_PND_data3"/>
      <sheetName val="5_2_CW_TIC_data3"/>
      <sheetName val="Table_5_33"/>
      <sheetName val="5_3_pivot3"/>
      <sheetName val="Table_5_43"/>
      <sheetName val="5_4_pivot3"/>
      <sheetName val="5_3_&amp;_5_4_data3"/>
      <sheetName val="Table_5a3"/>
      <sheetName val="5a_Pivot3"/>
      <sheetName val="Table_5b3"/>
      <sheetName val="5b_TIC_Pivot3"/>
      <sheetName val="5b_PND_pivot3"/>
      <sheetName val="5b_CW_pivot3"/>
      <sheetName val="5b_Cautions_pivot3"/>
      <sheetName val="5b_Convictions_pivot3"/>
      <sheetName val="Table_5c3"/>
      <sheetName val="5C_summary3"/>
      <sheetName val="Cautions_convictions_2009_pivo3"/>
      <sheetName val="Cautions_convictions_2010_pivo3"/>
      <sheetName val="TIC_CW_2009_pivot3"/>
      <sheetName val="TIC_CW_2010_pivot3"/>
      <sheetName val="5c_cautions_convictions_data3"/>
      <sheetName val="5c_PND_data3"/>
      <sheetName val="5c_TIC_CW_data3"/>
      <sheetName val="Table_5d3"/>
      <sheetName val="5d_summary3"/>
      <sheetName val="5d_RC_summary3"/>
      <sheetName val="5d_CW_summary3"/>
      <sheetName val="5d_TIC_summary3"/>
      <sheetName val="5d_RC_pivot3"/>
      <sheetName val="5d_CW_Pivot3"/>
      <sheetName val="5d_TIC_Pivot3"/>
      <sheetName val="5d_RC_data3"/>
      <sheetName val="5d_CW_TIC_data3"/>
      <sheetName val="5d_data_(2)3"/>
      <sheetName val="5d_data3"/>
      <sheetName val="Table_7_13"/>
      <sheetName val="7_1_pivot3"/>
      <sheetName val="Table_7_33"/>
      <sheetName val="7_3_pivot3"/>
      <sheetName val="5_1_in_text3"/>
      <sheetName val="TIC_pre-20043"/>
      <sheetName val="Data-short_trend3"/>
      <sheetName val="Common_values4"/>
      <sheetName val="Table_5_14"/>
      <sheetName val="5_1_pivot4"/>
      <sheetName val="Table_5_24"/>
      <sheetName val="5_2_Pivot4"/>
      <sheetName val="VT_pivot4"/>
      <sheetName val="VT_working_sheet4"/>
      <sheetName val="5_2_data4"/>
      <sheetName val="5_2_CW_TIC_summary4"/>
      <sheetName val="5_2_CW_TIC_pivot4"/>
      <sheetName val="5_2_PND_data4"/>
      <sheetName val="5_2_CW_TIC_data4"/>
      <sheetName val="Table_5_34"/>
      <sheetName val="5_3_pivot4"/>
      <sheetName val="Table_5_44"/>
      <sheetName val="5_4_pivot4"/>
      <sheetName val="5_3_&amp;_5_4_data4"/>
      <sheetName val="Table_5a4"/>
      <sheetName val="5a_Pivot4"/>
      <sheetName val="Table_5b4"/>
      <sheetName val="5b_TIC_Pivot4"/>
      <sheetName val="5b_PND_pivot4"/>
      <sheetName val="5b_CW_pivot4"/>
      <sheetName val="5b_Cautions_pivot4"/>
      <sheetName val="5b_Convictions_pivot4"/>
      <sheetName val="Table_5c4"/>
      <sheetName val="5C_summary4"/>
      <sheetName val="Cautions_convictions_2009_pivo4"/>
      <sheetName val="Cautions_convictions_2010_pivo4"/>
      <sheetName val="TIC_CW_2009_pivot4"/>
      <sheetName val="TIC_CW_2010_pivot4"/>
      <sheetName val="5c_cautions_convictions_data4"/>
      <sheetName val="5c_PND_data4"/>
      <sheetName val="5c_TIC_CW_data4"/>
      <sheetName val="Table_5d4"/>
      <sheetName val="5d_summary4"/>
      <sheetName val="5d_RC_summary4"/>
      <sheetName val="5d_CW_summary4"/>
      <sheetName val="5d_TIC_summary4"/>
      <sheetName val="5d_RC_pivot4"/>
      <sheetName val="5d_CW_Pivot4"/>
      <sheetName val="5d_TIC_Pivot4"/>
      <sheetName val="5d_RC_data4"/>
      <sheetName val="5d_CW_TIC_data4"/>
      <sheetName val="5d_data_(2)4"/>
      <sheetName val="5d_data4"/>
      <sheetName val="Table_7_14"/>
      <sheetName val="7_1_pivot4"/>
      <sheetName val="Table_7_34"/>
      <sheetName val="7_3_pivot4"/>
      <sheetName val="5_1_in_text4"/>
      <sheetName val="TIC_pre-20044"/>
      <sheetName val="Data-short_trend4"/>
      <sheetName val="Common_values6"/>
      <sheetName val="Table_5_16"/>
      <sheetName val="5_1_pivot6"/>
      <sheetName val="Table_5_26"/>
      <sheetName val="5_2_Pivot6"/>
      <sheetName val="VT_pivot6"/>
      <sheetName val="VT_working_sheet6"/>
      <sheetName val="5_2_data6"/>
      <sheetName val="5_2_CW_TIC_summary6"/>
      <sheetName val="5_2_CW_TIC_pivot6"/>
      <sheetName val="5_2_PND_data6"/>
      <sheetName val="5_2_CW_TIC_data6"/>
      <sheetName val="Table_5_36"/>
      <sheetName val="5_3_pivot6"/>
      <sheetName val="Table_5_46"/>
      <sheetName val="5_4_pivot6"/>
      <sheetName val="5_3_&amp;_5_4_data6"/>
      <sheetName val="Table_5a6"/>
      <sheetName val="5a_Pivot6"/>
      <sheetName val="Table_5b6"/>
      <sheetName val="5b_TIC_Pivot6"/>
      <sheetName val="5b_PND_pivot6"/>
      <sheetName val="5b_CW_pivot6"/>
      <sheetName val="5b_Cautions_pivot6"/>
      <sheetName val="5b_Convictions_pivot6"/>
      <sheetName val="Table_5c6"/>
      <sheetName val="5C_summary6"/>
      <sheetName val="Cautions_convictions_2009_pivo6"/>
      <sheetName val="Cautions_convictions_2010_pivo6"/>
      <sheetName val="TIC_CW_2009_pivot6"/>
      <sheetName val="TIC_CW_2010_pivot6"/>
      <sheetName val="5c_cautions_convictions_data6"/>
      <sheetName val="5c_PND_data6"/>
      <sheetName val="5c_TIC_CW_data6"/>
      <sheetName val="Table_5d6"/>
      <sheetName val="5d_summary6"/>
      <sheetName val="5d_RC_summary6"/>
      <sheetName val="5d_CW_summary6"/>
      <sheetName val="5d_TIC_summary6"/>
      <sheetName val="5d_RC_pivot6"/>
      <sheetName val="5d_CW_Pivot6"/>
      <sheetName val="5d_TIC_Pivot6"/>
      <sheetName val="5d_RC_data6"/>
      <sheetName val="5d_CW_TIC_data6"/>
      <sheetName val="5d_data_(2)6"/>
      <sheetName val="5d_data6"/>
      <sheetName val="Table_7_16"/>
      <sheetName val="7_1_pivot6"/>
      <sheetName val="Table_7_36"/>
      <sheetName val="7_3_pivot6"/>
      <sheetName val="5_1_in_text6"/>
      <sheetName val="TIC_pre-20046"/>
      <sheetName val="Data-short_trend6"/>
      <sheetName val="Common_values5"/>
      <sheetName val="Table_5_15"/>
      <sheetName val="5_1_pivot5"/>
      <sheetName val="Table_5_25"/>
      <sheetName val="5_2_Pivot5"/>
      <sheetName val="VT_pivot5"/>
      <sheetName val="VT_working_sheet5"/>
      <sheetName val="5_2_data5"/>
      <sheetName val="5_2_CW_TIC_summary5"/>
      <sheetName val="5_2_CW_TIC_pivot5"/>
      <sheetName val="5_2_PND_data5"/>
      <sheetName val="5_2_CW_TIC_data5"/>
      <sheetName val="Table_5_35"/>
      <sheetName val="5_3_pivot5"/>
      <sheetName val="Table_5_45"/>
      <sheetName val="5_4_pivot5"/>
      <sheetName val="5_3_&amp;_5_4_data5"/>
      <sheetName val="Table_5a5"/>
      <sheetName val="5a_Pivot5"/>
      <sheetName val="Table_5b5"/>
      <sheetName val="5b_TIC_Pivot5"/>
      <sheetName val="5b_PND_pivot5"/>
      <sheetName val="5b_CW_pivot5"/>
      <sheetName val="5b_Cautions_pivot5"/>
      <sheetName val="5b_Convictions_pivot5"/>
      <sheetName val="Table_5c5"/>
      <sheetName val="5C_summary5"/>
      <sheetName val="Cautions_convictions_2009_pivo5"/>
      <sheetName val="Cautions_convictions_2010_pivo5"/>
      <sheetName val="TIC_CW_2009_pivot5"/>
      <sheetName val="TIC_CW_2010_pivot5"/>
      <sheetName val="5c_cautions_convictions_data5"/>
      <sheetName val="5c_PND_data5"/>
      <sheetName val="5c_TIC_CW_data5"/>
      <sheetName val="Table_5d5"/>
      <sheetName val="5d_summary5"/>
      <sheetName val="5d_RC_summary5"/>
      <sheetName val="5d_CW_summary5"/>
      <sheetName val="5d_TIC_summary5"/>
      <sheetName val="5d_RC_pivot5"/>
      <sheetName val="5d_CW_Pivot5"/>
      <sheetName val="5d_TIC_Pivot5"/>
      <sheetName val="5d_RC_data5"/>
      <sheetName val="5d_CW_TIC_data5"/>
      <sheetName val="5d_data_(2)5"/>
      <sheetName val="5d_data5"/>
      <sheetName val="Table_7_15"/>
      <sheetName val="7_1_pivot5"/>
      <sheetName val="Table_7_35"/>
      <sheetName val="7_3_pivot5"/>
      <sheetName val="5_1_in_text5"/>
      <sheetName val="TIC_pre-20045"/>
      <sheetName val="Data-short_trend5"/>
      <sheetName val="Common_values7"/>
      <sheetName val="Table_5_17"/>
      <sheetName val="5_1_pivot7"/>
      <sheetName val="Table_5_27"/>
      <sheetName val="5_2_Pivot7"/>
      <sheetName val="VT_pivot7"/>
      <sheetName val="VT_working_sheet7"/>
      <sheetName val="5_2_data7"/>
      <sheetName val="5_2_CW_TIC_summary7"/>
      <sheetName val="5_2_CW_TIC_pivot7"/>
      <sheetName val="5_2_PND_data7"/>
      <sheetName val="5_2_CW_TIC_data7"/>
      <sheetName val="Table_5_37"/>
      <sheetName val="5_3_pivot7"/>
      <sheetName val="Table_5_47"/>
      <sheetName val="5_4_pivot7"/>
      <sheetName val="5_3_&amp;_5_4_data7"/>
      <sheetName val="Table_5a7"/>
      <sheetName val="5a_Pivot7"/>
      <sheetName val="Table_5b7"/>
      <sheetName val="5b_TIC_Pivot7"/>
      <sheetName val="5b_PND_pivot7"/>
      <sheetName val="5b_CW_pivot7"/>
      <sheetName val="5b_Cautions_pivot7"/>
      <sheetName val="5b_Convictions_pivot7"/>
      <sheetName val="Table_5c7"/>
      <sheetName val="5C_summary7"/>
      <sheetName val="Cautions_convictions_2009_pivo7"/>
      <sheetName val="Cautions_convictions_2010_pivo7"/>
      <sheetName val="TIC_CW_2009_pivot7"/>
      <sheetName val="TIC_CW_2010_pivot7"/>
      <sheetName val="5c_cautions_convictions_data7"/>
      <sheetName val="5c_PND_data7"/>
      <sheetName val="5c_TIC_CW_data7"/>
      <sheetName val="Table_5d7"/>
      <sheetName val="5d_summary7"/>
      <sheetName val="5d_RC_summary7"/>
      <sheetName val="5d_CW_summary7"/>
      <sheetName val="5d_TIC_summary7"/>
      <sheetName val="5d_RC_pivot7"/>
      <sheetName val="5d_CW_Pivot7"/>
      <sheetName val="5d_TIC_Pivot7"/>
      <sheetName val="5d_RC_data7"/>
      <sheetName val="5d_CW_TIC_data7"/>
      <sheetName val="5d_data_(2)7"/>
      <sheetName val="5d_data7"/>
      <sheetName val="Table_7_17"/>
      <sheetName val="7_1_pivot7"/>
      <sheetName val="Table_7_37"/>
      <sheetName val="7_3_pivot7"/>
      <sheetName val="5_1_in_text7"/>
      <sheetName val="TIC_pre-20047"/>
      <sheetName val="Data-short_trend7"/>
      <sheetName val="Common_values9"/>
      <sheetName val="Table_5_19"/>
      <sheetName val="5_1_pivot9"/>
      <sheetName val="Table_5_29"/>
      <sheetName val="5_2_Pivot9"/>
      <sheetName val="VT_pivot9"/>
      <sheetName val="VT_working_sheet9"/>
      <sheetName val="5_2_data9"/>
      <sheetName val="5_2_CW_TIC_summary9"/>
      <sheetName val="5_2_CW_TIC_pivot9"/>
      <sheetName val="5_2_PND_data9"/>
      <sheetName val="5_2_CW_TIC_data9"/>
      <sheetName val="Table_5_39"/>
      <sheetName val="5_3_pivot9"/>
      <sheetName val="Table_5_49"/>
      <sheetName val="5_4_pivot9"/>
      <sheetName val="5_3_&amp;_5_4_data9"/>
      <sheetName val="Table_5a9"/>
      <sheetName val="5a_Pivot9"/>
      <sheetName val="Table_5b9"/>
      <sheetName val="5b_TIC_Pivot9"/>
      <sheetName val="5b_PND_pivot9"/>
      <sheetName val="5b_CW_pivot9"/>
      <sheetName val="5b_Cautions_pivot9"/>
      <sheetName val="5b_Convictions_pivot9"/>
      <sheetName val="Table_5c9"/>
      <sheetName val="5C_summary9"/>
      <sheetName val="Cautions_convictions_2009_pivo9"/>
      <sheetName val="Cautions_convictions_2010_pivo9"/>
      <sheetName val="TIC_CW_2009_pivot9"/>
      <sheetName val="TIC_CW_2010_pivot9"/>
      <sheetName val="5c_cautions_convictions_data9"/>
      <sheetName val="5c_PND_data9"/>
      <sheetName val="5c_TIC_CW_data9"/>
      <sheetName val="Table_5d9"/>
      <sheetName val="5d_summary9"/>
      <sheetName val="5d_RC_summary9"/>
      <sheetName val="5d_CW_summary9"/>
      <sheetName val="5d_TIC_summary9"/>
      <sheetName val="5d_RC_pivot9"/>
      <sheetName val="5d_CW_Pivot9"/>
      <sheetName val="5d_TIC_Pivot9"/>
      <sheetName val="5d_RC_data9"/>
      <sheetName val="5d_CW_TIC_data9"/>
      <sheetName val="5d_data_(2)9"/>
      <sheetName val="5d_data9"/>
      <sheetName val="Table_7_19"/>
      <sheetName val="7_1_pivot9"/>
      <sheetName val="Table_7_39"/>
      <sheetName val="7_3_pivot9"/>
      <sheetName val="5_1_in_text9"/>
      <sheetName val="TIC_pre-20049"/>
      <sheetName val="Data-short_trend9"/>
      <sheetName val="Common_values8"/>
      <sheetName val="Table_5_18"/>
      <sheetName val="5_1_pivot8"/>
      <sheetName val="Table_5_28"/>
      <sheetName val="5_2_Pivot8"/>
      <sheetName val="VT_pivot8"/>
      <sheetName val="VT_working_sheet8"/>
      <sheetName val="5_2_data8"/>
      <sheetName val="5_2_CW_TIC_summary8"/>
      <sheetName val="5_2_CW_TIC_pivot8"/>
      <sheetName val="5_2_PND_data8"/>
      <sheetName val="5_2_CW_TIC_data8"/>
      <sheetName val="Table_5_38"/>
      <sheetName val="5_3_pivot8"/>
      <sheetName val="Table_5_48"/>
      <sheetName val="5_4_pivot8"/>
      <sheetName val="5_3_&amp;_5_4_data8"/>
      <sheetName val="Table_5a8"/>
      <sheetName val="5a_Pivot8"/>
      <sheetName val="Table_5b8"/>
      <sheetName val="5b_TIC_Pivot8"/>
      <sheetName val="5b_PND_pivot8"/>
      <sheetName val="5b_CW_pivot8"/>
      <sheetName val="5b_Cautions_pivot8"/>
      <sheetName val="5b_Convictions_pivot8"/>
      <sheetName val="Table_5c8"/>
      <sheetName val="5C_summary8"/>
      <sheetName val="Cautions_convictions_2009_pivo8"/>
      <sheetName val="Cautions_convictions_2010_pivo8"/>
      <sheetName val="TIC_CW_2009_pivot8"/>
      <sheetName val="TIC_CW_2010_pivot8"/>
      <sheetName val="5c_cautions_convictions_data8"/>
      <sheetName val="5c_PND_data8"/>
      <sheetName val="5c_TIC_CW_data8"/>
      <sheetName val="Table_5d8"/>
      <sheetName val="5d_summary8"/>
      <sheetName val="5d_RC_summary8"/>
      <sheetName val="5d_CW_summary8"/>
      <sheetName val="5d_TIC_summary8"/>
      <sheetName val="5d_RC_pivot8"/>
      <sheetName val="5d_CW_Pivot8"/>
      <sheetName val="5d_TIC_Pivot8"/>
      <sheetName val="5d_RC_data8"/>
      <sheetName val="5d_CW_TIC_data8"/>
      <sheetName val="5d_data_(2)8"/>
      <sheetName val="5d_data8"/>
      <sheetName val="Table_7_18"/>
      <sheetName val="7_1_pivot8"/>
      <sheetName val="Table_7_38"/>
      <sheetName val="7_3_pivot8"/>
      <sheetName val="5_1_in_text8"/>
      <sheetName val="TIC_pre-20048"/>
      <sheetName val="Data-short_trend8"/>
      <sheetName val="Common_values10"/>
      <sheetName val="Table_5_110"/>
      <sheetName val="5_1_pivot10"/>
      <sheetName val="Table_5_210"/>
      <sheetName val="5_2_Pivot10"/>
      <sheetName val="VT_pivot10"/>
      <sheetName val="VT_working_sheet10"/>
      <sheetName val="5_2_data10"/>
      <sheetName val="5_2_CW_TIC_summary10"/>
      <sheetName val="5_2_CW_TIC_pivot10"/>
      <sheetName val="5_2_PND_data10"/>
      <sheetName val="5_2_CW_TIC_data10"/>
      <sheetName val="Table_5_310"/>
      <sheetName val="5_3_pivot10"/>
      <sheetName val="Table_5_410"/>
      <sheetName val="5_4_pivot10"/>
      <sheetName val="5_3_&amp;_5_4_data10"/>
      <sheetName val="Table_5a10"/>
      <sheetName val="5a_Pivot10"/>
      <sheetName val="Table_5b10"/>
      <sheetName val="5b_TIC_Pivot10"/>
      <sheetName val="5b_PND_pivot10"/>
      <sheetName val="5b_CW_pivot10"/>
      <sheetName val="5b_Cautions_pivot10"/>
      <sheetName val="5b_Convictions_pivot10"/>
      <sheetName val="Table_5c10"/>
      <sheetName val="5C_summary10"/>
      <sheetName val="Cautions_convictions_2009_piv10"/>
      <sheetName val="Cautions_convictions_2010_piv10"/>
      <sheetName val="TIC_CW_2009_pivot10"/>
      <sheetName val="TIC_CW_2010_pivot10"/>
      <sheetName val="5c_cautions_convictions_data10"/>
      <sheetName val="5c_PND_data10"/>
      <sheetName val="5c_TIC_CW_data10"/>
      <sheetName val="Table_5d10"/>
      <sheetName val="5d_summary10"/>
      <sheetName val="5d_RC_summary10"/>
      <sheetName val="5d_CW_summary10"/>
      <sheetName val="5d_TIC_summary10"/>
      <sheetName val="5d_RC_pivot10"/>
      <sheetName val="5d_CW_Pivot10"/>
      <sheetName val="5d_TIC_Pivot10"/>
      <sheetName val="5d_RC_data10"/>
      <sheetName val="5d_CW_TIC_data10"/>
      <sheetName val="5d_data_(2)10"/>
      <sheetName val="5d_data10"/>
      <sheetName val="Table_7_110"/>
      <sheetName val="7_1_pivot10"/>
      <sheetName val="Table_7_310"/>
      <sheetName val="7_3_pivot10"/>
      <sheetName val="5_1_in_text10"/>
      <sheetName val="TIC_pre-200410"/>
      <sheetName val="Data-short_trend10"/>
      <sheetName val="Common_values14"/>
      <sheetName val="Table_5_114"/>
      <sheetName val="5_1_pivot14"/>
      <sheetName val="Table_5_214"/>
      <sheetName val="5_2_Pivot14"/>
      <sheetName val="VT_pivot14"/>
      <sheetName val="VT_working_sheet14"/>
      <sheetName val="5_2_data14"/>
      <sheetName val="5_2_CW_TIC_summary14"/>
      <sheetName val="5_2_CW_TIC_pivot14"/>
      <sheetName val="5_2_PND_data14"/>
      <sheetName val="5_2_CW_TIC_data14"/>
      <sheetName val="Table_5_314"/>
      <sheetName val="5_3_pivot14"/>
      <sheetName val="Table_5_414"/>
      <sheetName val="5_4_pivot14"/>
      <sheetName val="5_3_&amp;_5_4_data14"/>
      <sheetName val="Table_5a14"/>
      <sheetName val="5a_Pivot14"/>
      <sheetName val="Table_5b14"/>
      <sheetName val="5b_TIC_Pivot14"/>
      <sheetName val="5b_PND_pivot14"/>
      <sheetName val="5b_CW_pivot14"/>
      <sheetName val="5b_Cautions_pivot14"/>
      <sheetName val="5b_Convictions_pivot14"/>
      <sheetName val="Table_5c14"/>
      <sheetName val="5C_summary14"/>
      <sheetName val="Cautions_convictions_2009_piv14"/>
      <sheetName val="Cautions_convictions_2010_piv14"/>
      <sheetName val="TIC_CW_2009_pivot14"/>
      <sheetName val="TIC_CW_2010_pivot14"/>
      <sheetName val="5c_cautions_convictions_data14"/>
      <sheetName val="5c_PND_data14"/>
      <sheetName val="5c_TIC_CW_data14"/>
      <sheetName val="Table_5d14"/>
      <sheetName val="5d_summary14"/>
      <sheetName val="5d_RC_summary14"/>
      <sheetName val="5d_CW_summary14"/>
      <sheetName val="5d_TIC_summary14"/>
      <sheetName val="5d_RC_pivot14"/>
      <sheetName val="5d_CW_Pivot14"/>
      <sheetName val="5d_TIC_Pivot14"/>
      <sheetName val="5d_RC_data14"/>
      <sheetName val="5d_CW_TIC_data14"/>
      <sheetName val="5d_data_(2)14"/>
      <sheetName val="5d_data14"/>
      <sheetName val="Table_7_114"/>
      <sheetName val="7_1_pivot14"/>
      <sheetName val="Table_7_314"/>
      <sheetName val="7_3_pivot14"/>
      <sheetName val="5_1_in_text14"/>
      <sheetName val="TIC_pre-200414"/>
      <sheetName val="Data-short_trend14"/>
      <sheetName val="Common_values11"/>
      <sheetName val="Table_5_111"/>
      <sheetName val="5_1_pivot11"/>
      <sheetName val="Table_5_211"/>
      <sheetName val="5_2_Pivot11"/>
      <sheetName val="VT_pivot11"/>
      <sheetName val="VT_working_sheet11"/>
      <sheetName val="5_2_data11"/>
      <sheetName val="5_2_CW_TIC_summary11"/>
      <sheetName val="5_2_CW_TIC_pivot11"/>
      <sheetName val="5_2_PND_data11"/>
      <sheetName val="5_2_CW_TIC_data11"/>
      <sheetName val="Table_5_311"/>
      <sheetName val="5_3_pivot11"/>
      <sheetName val="Table_5_411"/>
      <sheetName val="5_4_pivot11"/>
      <sheetName val="5_3_&amp;_5_4_data11"/>
      <sheetName val="Table_5a11"/>
      <sheetName val="5a_Pivot11"/>
      <sheetName val="Table_5b11"/>
      <sheetName val="5b_TIC_Pivot11"/>
      <sheetName val="5b_PND_pivot11"/>
      <sheetName val="5b_CW_pivot11"/>
      <sheetName val="5b_Cautions_pivot11"/>
      <sheetName val="5b_Convictions_pivot11"/>
      <sheetName val="Table_5c11"/>
      <sheetName val="5C_summary11"/>
      <sheetName val="Cautions_convictions_2009_piv11"/>
      <sheetName val="Cautions_convictions_2010_piv11"/>
      <sheetName val="TIC_CW_2009_pivot11"/>
      <sheetName val="TIC_CW_2010_pivot11"/>
      <sheetName val="5c_cautions_convictions_data11"/>
      <sheetName val="5c_PND_data11"/>
      <sheetName val="5c_TIC_CW_data11"/>
      <sheetName val="Table_5d11"/>
      <sheetName val="5d_summary11"/>
      <sheetName val="5d_RC_summary11"/>
      <sheetName val="5d_CW_summary11"/>
      <sheetName val="5d_TIC_summary11"/>
      <sheetName val="5d_RC_pivot11"/>
      <sheetName val="5d_CW_Pivot11"/>
      <sheetName val="5d_TIC_Pivot11"/>
      <sheetName val="5d_RC_data11"/>
      <sheetName val="5d_CW_TIC_data11"/>
      <sheetName val="5d_data_(2)11"/>
      <sheetName val="5d_data11"/>
      <sheetName val="Table_7_111"/>
      <sheetName val="7_1_pivot11"/>
      <sheetName val="Table_7_311"/>
      <sheetName val="7_3_pivot11"/>
      <sheetName val="5_1_in_text11"/>
      <sheetName val="TIC_pre-200411"/>
      <sheetName val="Data-short_trend11"/>
      <sheetName val="Common_values12"/>
      <sheetName val="Table_5_112"/>
      <sheetName val="5_1_pivot12"/>
      <sheetName val="Table_5_212"/>
      <sheetName val="5_2_Pivot12"/>
      <sheetName val="VT_pivot12"/>
      <sheetName val="VT_working_sheet12"/>
      <sheetName val="5_2_data12"/>
      <sheetName val="5_2_CW_TIC_summary12"/>
      <sheetName val="5_2_CW_TIC_pivot12"/>
      <sheetName val="5_2_PND_data12"/>
      <sheetName val="5_2_CW_TIC_data12"/>
      <sheetName val="Table_5_312"/>
      <sheetName val="5_3_pivot12"/>
      <sheetName val="Table_5_412"/>
      <sheetName val="5_4_pivot12"/>
      <sheetName val="5_3_&amp;_5_4_data12"/>
      <sheetName val="Table_5a12"/>
      <sheetName val="5a_Pivot12"/>
      <sheetName val="Table_5b12"/>
      <sheetName val="5b_TIC_Pivot12"/>
      <sheetName val="5b_PND_pivot12"/>
      <sheetName val="5b_CW_pivot12"/>
      <sheetName val="5b_Cautions_pivot12"/>
      <sheetName val="5b_Convictions_pivot12"/>
      <sheetName val="Table_5c12"/>
      <sheetName val="5C_summary12"/>
      <sheetName val="Cautions_convictions_2009_piv12"/>
      <sheetName val="Cautions_convictions_2010_piv12"/>
      <sheetName val="TIC_CW_2009_pivot12"/>
      <sheetName val="TIC_CW_2010_pivot12"/>
      <sheetName val="5c_cautions_convictions_data12"/>
      <sheetName val="5c_PND_data12"/>
      <sheetName val="5c_TIC_CW_data12"/>
      <sheetName val="Table_5d12"/>
      <sheetName val="5d_summary12"/>
      <sheetName val="5d_RC_summary12"/>
      <sheetName val="5d_CW_summary12"/>
      <sheetName val="5d_TIC_summary12"/>
      <sheetName val="5d_RC_pivot12"/>
      <sheetName val="5d_CW_Pivot12"/>
      <sheetName val="5d_TIC_Pivot12"/>
      <sheetName val="5d_RC_data12"/>
      <sheetName val="5d_CW_TIC_data12"/>
      <sheetName val="5d_data_(2)12"/>
      <sheetName val="5d_data12"/>
      <sheetName val="Table_7_112"/>
      <sheetName val="7_1_pivot12"/>
      <sheetName val="Table_7_312"/>
      <sheetName val="7_3_pivot12"/>
      <sheetName val="5_1_in_text12"/>
      <sheetName val="TIC_pre-200412"/>
      <sheetName val="Data-short_trend12"/>
      <sheetName val="Common_values13"/>
      <sheetName val="Table_5_113"/>
      <sheetName val="5_1_pivot13"/>
      <sheetName val="Table_5_213"/>
      <sheetName val="5_2_Pivot13"/>
      <sheetName val="VT_pivot13"/>
      <sheetName val="VT_working_sheet13"/>
      <sheetName val="5_2_data13"/>
      <sheetName val="5_2_CW_TIC_summary13"/>
      <sheetName val="5_2_CW_TIC_pivot13"/>
      <sheetName val="5_2_PND_data13"/>
      <sheetName val="5_2_CW_TIC_data13"/>
      <sheetName val="Table_5_313"/>
      <sheetName val="5_3_pivot13"/>
      <sheetName val="Table_5_413"/>
      <sheetName val="5_4_pivot13"/>
      <sheetName val="5_3_&amp;_5_4_data13"/>
      <sheetName val="Table_5a13"/>
      <sheetName val="5a_Pivot13"/>
      <sheetName val="Table_5b13"/>
      <sheetName val="5b_TIC_Pivot13"/>
      <sheetName val="5b_PND_pivot13"/>
      <sheetName val="5b_CW_pivot13"/>
      <sheetName val="5b_Cautions_pivot13"/>
      <sheetName val="5b_Convictions_pivot13"/>
      <sheetName val="Table_5c13"/>
      <sheetName val="5C_summary13"/>
      <sheetName val="Cautions_convictions_2009_piv13"/>
      <sheetName val="Cautions_convictions_2010_piv13"/>
      <sheetName val="TIC_CW_2009_pivot13"/>
      <sheetName val="TIC_CW_2010_pivot13"/>
      <sheetName val="5c_cautions_convictions_data13"/>
      <sheetName val="5c_PND_data13"/>
      <sheetName val="5c_TIC_CW_data13"/>
      <sheetName val="Table_5d13"/>
      <sheetName val="5d_summary13"/>
      <sheetName val="5d_RC_summary13"/>
      <sheetName val="5d_CW_summary13"/>
      <sheetName val="5d_TIC_summary13"/>
      <sheetName val="5d_RC_pivot13"/>
      <sheetName val="5d_CW_Pivot13"/>
      <sheetName val="5d_TIC_Pivot13"/>
      <sheetName val="5d_RC_data13"/>
      <sheetName val="5d_CW_TIC_data13"/>
      <sheetName val="5d_data_(2)13"/>
      <sheetName val="5d_data13"/>
      <sheetName val="Table_7_113"/>
      <sheetName val="7_1_pivot13"/>
      <sheetName val="Table_7_313"/>
      <sheetName val="7_3_pivot13"/>
      <sheetName val="5_1_in_text13"/>
      <sheetName val="TIC_pre-200413"/>
      <sheetName val="Data-short_trend13"/>
      <sheetName val="Common_values15"/>
      <sheetName val="Table_5_115"/>
      <sheetName val="5_1_pivot15"/>
      <sheetName val="Table_5_215"/>
      <sheetName val="5_2_Pivot15"/>
      <sheetName val="VT_pivot15"/>
      <sheetName val="VT_working_sheet15"/>
      <sheetName val="5_2_data15"/>
      <sheetName val="5_2_CW_TIC_summary15"/>
      <sheetName val="5_2_CW_TIC_pivot15"/>
      <sheetName val="5_2_PND_data15"/>
      <sheetName val="5_2_CW_TIC_data15"/>
      <sheetName val="Table_5_315"/>
      <sheetName val="5_3_pivot15"/>
      <sheetName val="Table_5_415"/>
      <sheetName val="5_4_pivot15"/>
      <sheetName val="5_3_&amp;_5_4_data15"/>
      <sheetName val="Table_5a15"/>
      <sheetName val="5a_Pivot15"/>
      <sheetName val="Table_5b15"/>
      <sheetName val="5b_TIC_Pivot15"/>
      <sheetName val="5b_PND_pivot15"/>
      <sheetName val="5b_CW_pivot15"/>
      <sheetName val="5b_Cautions_pivot15"/>
      <sheetName val="5b_Convictions_pivot15"/>
      <sheetName val="Table_5c15"/>
      <sheetName val="5C_summary15"/>
      <sheetName val="Cautions_convictions_2009_piv15"/>
      <sheetName val="Cautions_convictions_2010_piv15"/>
      <sheetName val="TIC_CW_2009_pivot15"/>
      <sheetName val="TIC_CW_2010_pivot15"/>
      <sheetName val="5c_cautions_convictions_data15"/>
      <sheetName val="5c_PND_data15"/>
      <sheetName val="5c_TIC_CW_data15"/>
      <sheetName val="Table_5d15"/>
      <sheetName val="5d_summary15"/>
      <sheetName val="5d_RC_summary15"/>
      <sheetName val="5d_CW_summary15"/>
      <sheetName val="5d_TIC_summary15"/>
      <sheetName val="5d_RC_pivot15"/>
      <sheetName val="5d_CW_Pivot15"/>
      <sheetName val="5d_TIC_Pivot15"/>
      <sheetName val="5d_RC_data15"/>
      <sheetName val="5d_CW_TIC_data15"/>
      <sheetName val="5d_data_(2)15"/>
      <sheetName val="5d_data15"/>
      <sheetName val="Table_7_115"/>
      <sheetName val="7_1_pivot15"/>
      <sheetName val="Table_7_315"/>
      <sheetName val="7_3_pivot15"/>
      <sheetName val="5_1_in_text15"/>
      <sheetName val="TIC_pre-200415"/>
      <sheetName val="Data-short_trend15"/>
      <sheetName val="Common_values17"/>
      <sheetName val="Table_5_117"/>
      <sheetName val="5_1_pivot17"/>
      <sheetName val="Table_5_217"/>
      <sheetName val="5_2_Pivot17"/>
      <sheetName val="VT_pivot17"/>
      <sheetName val="VT_working_sheet17"/>
      <sheetName val="5_2_data17"/>
      <sheetName val="5_2_CW_TIC_summary17"/>
      <sheetName val="5_2_CW_TIC_pivot17"/>
      <sheetName val="5_2_PND_data17"/>
      <sheetName val="5_2_CW_TIC_data17"/>
      <sheetName val="Table_5_317"/>
      <sheetName val="5_3_pivot17"/>
      <sheetName val="Table_5_417"/>
      <sheetName val="5_4_pivot17"/>
      <sheetName val="5_3_&amp;_5_4_data17"/>
      <sheetName val="Table_5a17"/>
      <sheetName val="5a_Pivot17"/>
      <sheetName val="Table_5b17"/>
      <sheetName val="5b_TIC_Pivot17"/>
      <sheetName val="5b_PND_pivot17"/>
      <sheetName val="5b_CW_pivot17"/>
      <sheetName val="5b_Cautions_pivot17"/>
      <sheetName val="5b_Convictions_pivot17"/>
      <sheetName val="Table_5c17"/>
      <sheetName val="5C_summary17"/>
      <sheetName val="Cautions_convictions_2009_piv17"/>
      <sheetName val="Cautions_convictions_2010_piv17"/>
      <sheetName val="TIC_CW_2009_pivot17"/>
      <sheetName val="TIC_CW_2010_pivot17"/>
      <sheetName val="5c_cautions_convictions_data17"/>
      <sheetName val="5c_PND_data17"/>
      <sheetName val="5c_TIC_CW_data17"/>
      <sheetName val="Table_5d17"/>
      <sheetName val="5d_summary17"/>
      <sheetName val="5d_RC_summary17"/>
      <sheetName val="5d_CW_summary17"/>
      <sheetName val="5d_TIC_summary17"/>
      <sheetName val="5d_RC_pivot17"/>
      <sheetName val="5d_CW_Pivot17"/>
      <sheetName val="5d_TIC_Pivot17"/>
      <sheetName val="5d_RC_data17"/>
      <sheetName val="5d_CW_TIC_data17"/>
      <sheetName val="5d_data_(2)17"/>
      <sheetName val="5d_data17"/>
      <sheetName val="Table_7_117"/>
      <sheetName val="7_1_pivot17"/>
      <sheetName val="Table_7_317"/>
      <sheetName val="7_3_pivot17"/>
      <sheetName val="5_1_in_text17"/>
      <sheetName val="TIC_pre-200417"/>
      <sheetName val="Data-short_trend17"/>
      <sheetName val="Common_values19"/>
      <sheetName val="Table_5_119"/>
      <sheetName val="5_1_pivot19"/>
      <sheetName val="Table_5_219"/>
      <sheetName val="5_2_Pivot19"/>
      <sheetName val="VT_pivot19"/>
      <sheetName val="VT_working_sheet19"/>
      <sheetName val="5_2_data19"/>
      <sheetName val="5_2_CW_TIC_summary19"/>
      <sheetName val="5_2_CW_TIC_pivot19"/>
      <sheetName val="5_2_PND_data19"/>
      <sheetName val="5_2_CW_TIC_data19"/>
      <sheetName val="Table_5_319"/>
      <sheetName val="5_3_pivot19"/>
      <sheetName val="Table_5_419"/>
      <sheetName val="5_4_pivot19"/>
      <sheetName val="5_3_&amp;_5_4_data19"/>
      <sheetName val="Table_5a19"/>
      <sheetName val="5a_Pivot19"/>
      <sheetName val="Table_5b19"/>
      <sheetName val="5b_TIC_Pivot19"/>
      <sheetName val="5b_PND_pivot19"/>
      <sheetName val="5b_CW_pivot19"/>
      <sheetName val="5b_Cautions_pivot19"/>
      <sheetName val="5b_Convictions_pivot19"/>
      <sheetName val="Table_5c19"/>
      <sheetName val="5C_summary19"/>
      <sheetName val="Cautions_convictions_2009_piv19"/>
      <sheetName val="Cautions_convictions_2010_piv19"/>
      <sheetName val="TIC_CW_2009_pivot19"/>
      <sheetName val="TIC_CW_2010_pivot19"/>
      <sheetName val="5c_cautions_convictions_data19"/>
      <sheetName val="5c_PND_data19"/>
      <sheetName val="5c_TIC_CW_data19"/>
      <sheetName val="Table_5d19"/>
      <sheetName val="5d_summary19"/>
      <sheetName val="5d_RC_summary19"/>
      <sheetName val="5d_CW_summary19"/>
      <sheetName val="5d_TIC_summary19"/>
      <sheetName val="5d_RC_pivot19"/>
      <sheetName val="5d_CW_Pivot19"/>
      <sheetName val="5d_TIC_Pivot19"/>
      <sheetName val="5d_RC_data19"/>
      <sheetName val="5d_CW_TIC_data19"/>
      <sheetName val="5d_data_(2)19"/>
      <sheetName val="5d_data19"/>
      <sheetName val="Table_7_119"/>
      <sheetName val="7_1_pivot19"/>
      <sheetName val="Table_7_319"/>
      <sheetName val="7_3_pivot19"/>
      <sheetName val="5_1_in_text19"/>
      <sheetName val="TIC_pre-200419"/>
      <sheetName val="Data-short_trend19"/>
      <sheetName val="Common_values18"/>
      <sheetName val="Table_5_118"/>
      <sheetName val="5_1_pivot18"/>
      <sheetName val="Table_5_218"/>
      <sheetName val="5_2_Pivot18"/>
      <sheetName val="VT_pivot18"/>
      <sheetName val="VT_working_sheet18"/>
      <sheetName val="5_2_data18"/>
      <sheetName val="5_2_CW_TIC_summary18"/>
      <sheetName val="5_2_CW_TIC_pivot18"/>
      <sheetName val="5_2_PND_data18"/>
      <sheetName val="5_2_CW_TIC_data18"/>
      <sheetName val="Table_5_318"/>
      <sheetName val="5_3_pivot18"/>
      <sheetName val="Table_5_418"/>
      <sheetName val="5_4_pivot18"/>
      <sheetName val="5_3_&amp;_5_4_data18"/>
      <sheetName val="Table_5a18"/>
      <sheetName val="5a_Pivot18"/>
      <sheetName val="Table_5b18"/>
      <sheetName val="5b_TIC_Pivot18"/>
      <sheetName val="5b_PND_pivot18"/>
      <sheetName val="5b_CW_pivot18"/>
      <sheetName val="5b_Cautions_pivot18"/>
      <sheetName val="5b_Convictions_pivot18"/>
      <sheetName val="Table_5c18"/>
      <sheetName val="5C_summary18"/>
      <sheetName val="Cautions_convictions_2009_piv18"/>
      <sheetName val="Cautions_convictions_2010_piv18"/>
      <sheetName val="TIC_CW_2009_pivot18"/>
      <sheetName val="TIC_CW_2010_pivot18"/>
      <sheetName val="5c_cautions_convictions_data18"/>
      <sheetName val="5c_PND_data18"/>
      <sheetName val="5c_TIC_CW_data18"/>
      <sheetName val="Table_5d18"/>
      <sheetName val="5d_summary18"/>
      <sheetName val="5d_RC_summary18"/>
      <sheetName val="5d_CW_summary18"/>
      <sheetName val="5d_TIC_summary18"/>
      <sheetName val="5d_RC_pivot18"/>
      <sheetName val="5d_CW_Pivot18"/>
      <sheetName val="5d_TIC_Pivot18"/>
      <sheetName val="5d_RC_data18"/>
      <sheetName val="5d_CW_TIC_data18"/>
      <sheetName val="5d_data_(2)18"/>
      <sheetName val="5d_data18"/>
      <sheetName val="Table_7_118"/>
      <sheetName val="7_1_pivot18"/>
      <sheetName val="Table_7_318"/>
      <sheetName val="7_3_pivot18"/>
      <sheetName val="5_1_in_text18"/>
      <sheetName val="TIC_pre-200418"/>
      <sheetName val="Data-short_trend18"/>
      <sheetName val="Common_values20"/>
      <sheetName val="Table_5_120"/>
      <sheetName val="5_1_pivot20"/>
      <sheetName val="Table_5_220"/>
      <sheetName val="5_2_Pivot20"/>
      <sheetName val="VT_pivot20"/>
      <sheetName val="VT_working_sheet20"/>
      <sheetName val="5_2_data20"/>
      <sheetName val="5_2_CW_TIC_summary20"/>
      <sheetName val="5_2_CW_TIC_pivot20"/>
      <sheetName val="5_2_PND_data20"/>
      <sheetName val="5_2_CW_TIC_data20"/>
      <sheetName val="Table_5_320"/>
      <sheetName val="5_3_pivot20"/>
      <sheetName val="Table_5_420"/>
      <sheetName val="5_4_pivot20"/>
      <sheetName val="5_3_&amp;_5_4_data20"/>
      <sheetName val="Table_5a20"/>
      <sheetName val="5a_Pivot20"/>
      <sheetName val="Table_5b20"/>
      <sheetName val="5b_TIC_Pivot20"/>
      <sheetName val="5b_PND_pivot20"/>
      <sheetName val="5b_CW_pivot20"/>
      <sheetName val="5b_Cautions_pivot20"/>
      <sheetName val="5b_Convictions_pivot20"/>
      <sheetName val="Table_5c20"/>
      <sheetName val="5C_summary20"/>
      <sheetName val="Cautions_convictions_2009_piv20"/>
      <sheetName val="Cautions_convictions_2010_piv20"/>
      <sheetName val="TIC_CW_2009_pivot20"/>
      <sheetName val="TIC_CW_2010_pivot20"/>
      <sheetName val="5c_cautions_convictions_data20"/>
      <sheetName val="5c_PND_data20"/>
      <sheetName val="5c_TIC_CW_data20"/>
      <sheetName val="Table_5d20"/>
      <sheetName val="5d_summary20"/>
      <sheetName val="5d_RC_summary20"/>
      <sheetName val="5d_CW_summary20"/>
      <sheetName val="5d_TIC_summary20"/>
      <sheetName val="5d_RC_pivot20"/>
      <sheetName val="5d_CW_Pivot20"/>
      <sheetName val="5d_TIC_Pivot20"/>
      <sheetName val="5d_RC_data20"/>
      <sheetName val="5d_CW_TIC_data20"/>
      <sheetName val="5d_data_(2)20"/>
      <sheetName val="5d_data20"/>
      <sheetName val="Table_7_120"/>
      <sheetName val="7_1_pivot20"/>
      <sheetName val="Table_7_320"/>
      <sheetName val="7_3_pivot20"/>
      <sheetName val="5_1_in_text20"/>
      <sheetName val="TIC_pre-200420"/>
      <sheetName val="Data-short_trend20"/>
      <sheetName val="Common_values21"/>
      <sheetName val="Table_5_121"/>
      <sheetName val="5_1_pivot21"/>
      <sheetName val="Table_5_221"/>
      <sheetName val="5_2_Pivot21"/>
      <sheetName val="VT_pivot21"/>
      <sheetName val="VT_working_sheet21"/>
      <sheetName val="5_2_data21"/>
      <sheetName val="5_2_CW_TIC_summary21"/>
      <sheetName val="5_2_CW_TIC_pivot21"/>
      <sheetName val="5_2_PND_data21"/>
      <sheetName val="5_2_CW_TIC_data21"/>
      <sheetName val="Table_5_321"/>
      <sheetName val="5_3_pivot21"/>
      <sheetName val="Table_5_421"/>
      <sheetName val="5_4_pivot21"/>
      <sheetName val="5_3_&amp;_5_4_data21"/>
      <sheetName val="Table_5a21"/>
      <sheetName val="5a_Pivot21"/>
      <sheetName val="Table_5b21"/>
      <sheetName val="5b_TIC_Pivot21"/>
      <sheetName val="5b_PND_pivot21"/>
      <sheetName val="5b_CW_pivot21"/>
      <sheetName val="5b_Cautions_pivot21"/>
      <sheetName val="5b_Convictions_pivot21"/>
      <sheetName val="Table_5c21"/>
      <sheetName val="5C_summary21"/>
      <sheetName val="Cautions_convictions_2009_piv21"/>
      <sheetName val="Cautions_convictions_2010_piv21"/>
      <sheetName val="TIC_CW_2009_pivot21"/>
      <sheetName val="TIC_CW_2010_pivot21"/>
      <sheetName val="5c_cautions_convictions_data21"/>
      <sheetName val="5c_PND_data21"/>
      <sheetName val="5c_TIC_CW_data21"/>
      <sheetName val="Table_5d21"/>
      <sheetName val="5d_summary21"/>
      <sheetName val="5d_RC_summary21"/>
      <sheetName val="5d_CW_summary21"/>
      <sheetName val="5d_TIC_summary21"/>
      <sheetName val="5d_RC_pivot21"/>
      <sheetName val="5d_CW_Pivot21"/>
      <sheetName val="5d_TIC_Pivot21"/>
      <sheetName val="5d_RC_data21"/>
      <sheetName val="5d_CW_TIC_data21"/>
      <sheetName val="5d_data_(2)21"/>
      <sheetName val="5d_data21"/>
      <sheetName val="Table_7_121"/>
      <sheetName val="7_1_pivot21"/>
      <sheetName val="Table_7_321"/>
      <sheetName val="7_3_pivot21"/>
      <sheetName val="5_1_in_text21"/>
      <sheetName val="TIC_pre-200421"/>
      <sheetName val="Data-short_trend2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row r="28">
          <cell r="O28">
            <v>631</v>
          </cell>
        </row>
        <row r="32">
          <cell r="O32">
            <v>2252</v>
          </cell>
        </row>
        <row r="36">
          <cell r="O36">
            <v>334</v>
          </cell>
        </row>
        <row r="40">
          <cell r="O40">
            <v>555</v>
          </cell>
        </row>
        <row r="44">
          <cell r="O44">
            <v>149</v>
          </cell>
        </row>
        <row r="48">
          <cell r="O48">
            <v>2038</v>
          </cell>
        </row>
        <row r="52">
          <cell r="O52">
            <v>785</v>
          </cell>
        </row>
        <row r="56">
          <cell r="O56">
            <v>1120</v>
          </cell>
        </row>
        <row r="60">
          <cell r="O60">
            <v>266</v>
          </cell>
        </row>
        <row r="64">
          <cell r="O64">
            <v>673</v>
          </cell>
        </row>
        <row r="68">
          <cell r="O68">
            <v>1242</v>
          </cell>
        </row>
        <row r="72">
          <cell r="O72">
            <v>846</v>
          </cell>
        </row>
        <row r="80">
          <cell r="O80">
            <v>1332</v>
          </cell>
        </row>
        <row r="84">
          <cell r="O84">
            <v>542</v>
          </cell>
        </row>
        <row r="88">
          <cell r="O88">
            <v>310</v>
          </cell>
        </row>
        <row r="92">
          <cell r="O92">
            <v>2188</v>
          </cell>
        </row>
        <row r="96">
          <cell r="O96">
            <v>372</v>
          </cell>
        </row>
        <row r="100">
          <cell r="O100">
            <v>1103</v>
          </cell>
        </row>
        <row r="104">
          <cell r="O104">
            <v>913</v>
          </cell>
        </row>
        <row r="108">
          <cell r="O108">
            <v>410</v>
          </cell>
        </row>
        <row r="112">
          <cell r="O112">
            <v>605</v>
          </cell>
        </row>
        <row r="116">
          <cell r="O116">
            <v>1660</v>
          </cell>
        </row>
        <row r="120">
          <cell r="O120">
            <v>513</v>
          </cell>
        </row>
        <row r="124">
          <cell r="O124">
            <v>769</v>
          </cell>
        </row>
        <row r="128">
          <cell r="O128">
            <v>2262</v>
          </cell>
        </row>
        <row r="132">
          <cell r="O132">
            <v>470</v>
          </cell>
        </row>
        <row r="136">
          <cell r="O136">
            <v>503</v>
          </cell>
        </row>
        <row r="144">
          <cell r="O144">
            <v>415</v>
          </cell>
        </row>
        <row r="148">
          <cell r="O148">
            <v>1461</v>
          </cell>
        </row>
        <row r="152">
          <cell r="O152">
            <v>154</v>
          </cell>
        </row>
        <row r="156">
          <cell r="O156">
            <v>460</v>
          </cell>
        </row>
        <row r="160">
          <cell r="O160">
            <v>959</v>
          </cell>
        </row>
        <row r="164">
          <cell r="O164">
            <v>3414</v>
          </cell>
        </row>
        <row r="168">
          <cell r="O168">
            <v>1055</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ow r="28">
          <cell r="O28">
            <v>631</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ow r="28">
          <cell r="O28">
            <v>631</v>
          </cell>
        </row>
      </sheetData>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pulation multipliers"/>
      <sheetName val="Incidence rates &amp; numbers"/>
      <sheetName val="Prevalence &amp; perceptions - %s"/>
      <sheetName val="tbl_NATIONAL"/>
      <sheetName val="Population_multipliers"/>
      <sheetName val="Incidence_rates_&amp;_numbers"/>
      <sheetName val="Prevalence_&amp;_perceptions_-_%s"/>
    </sheetNames>
    <sheetDataSet>
      <sheetData sheetId="0"/>
      <sheetData sheetId="1"/>
      <sheetData sheetId="2"/>
      <sheetData sheetId="3">
        <row r="2">
          <cell r="A2" t="str">
            <v>abancar1</v>
          </cell>
        </row>
      </sheetData>
      <sheetData sheetId="4"/>
      <sheetData sheetId="5"/>
      <sheetData sheetId="6"/>
    </sheetDataSet>
  </externalBook>
</externalLink>
</file>

<file path=xl/theme/theme1.xml><?xml version="1.0" encoding="utf-8"?>
<a:theme xmlns:a="http://schemas.openxmlformats.org/drawingml/2006/main" name="Stats-Proposal">
  <a:themeElements>
    <a:clrScheme name="Test 040220">
      <a:dk1>
        <a:sysClr val="windowText" lastClr="000000"/>
      </a:dk1>
      <a:lt1>
        <a:sysClr val="window" lastClr="FFFFFF"/>
      </a:lt1>
      <a:dk2>
        <a:srgbClr val="6E6E6E"/>
      </a:dk2>
      <a:lt2>
        <a:srgbClr val="F0EEED"/>
      </a:lt2>
      <a:accent1>
        <a:srgbClr val="006548"/>
      </a:accent1>
      <a:accent2>
        <a:srgbClr val="3F9D8A"/>
      </a:accent2>
      <a:accent3>
        <a:srgbClr val="682F7F"/>
      </a:accent3>
      <a:accent4>
        <a:srgbClr val="A37EC8"/>
      </a:accent4>
      <a:accent5>
        <a:srgbClr val="003F2B"/>
      </a:accent5>
      <a:accent6>
        <a:srgbClr val="E09F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peoplepopulationandcommunity/crimeandjustice/datasets/crimeinenglandandwalesotherrelatedtable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peoplepopulationandcommunity/crimeandjustice/datasets/crimeinenglandandwalesotherrelatedtables"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ons.gov.uk/peoplepopulationandcommunity/crimeandjustice/datasets/crimeinenglandandwalesappendixtable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ons.gov.uk/peoplepopulationandcommunity/crimeandjustice/datasets/appendixtableshomicideinenglandandwales" TargetMode="External"/><Relationship Id="rId1" Type="http://schemas.openxmlformats.org/officeDocument/2006/relationships/hyperlink" Target="https://www.ons.gov.uk/peoplepopulationandcommunity/crimeandjustice/datasets/appendixtablesfocusonviolentcrimeandsexualoffences"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ons.gov.uk/peoplepopulationandcommunity/crimeandjustice/datasets/appendixtableshomicideinenglandandwales"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ons.gov.uk/peoplepopulationandcommunity/crimeandjustice/datasets/policeforceareadatatables"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met.police.uk/sd/stats-and-data/met/year-end-crime-statistics-20-21/"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ons.gov.uk/peoplepopulationandcommunity/crimeandjustice/datasets/natureofcrimetablesviolence"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gov.uk/government/statistics/knife-and-offensive-weapon-sentencing-statistics-year-ending-march-2021"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gov.uk/government/statistics/knife-and-offensive-weapon-sentencing-statistics-january-to-march-2023" TargetMode="External"/><Relationship Id="rId1" Type="http://schemas.openxmlformats.org/officeDocument/2006/relationships/hyperlink" Target="https://www.gov.uk/government/statistics/knife-and-offensive-weapon-sentencing-statistics-october-to-december-2018" TargetMode="External"/><Relationship Id="rId4"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gov.uk/government/statistics/knife-and-offensive-weapon-sentencing-statistics-january-to-march-2023" TargetMode="External"/><Relationship Id="rId1" Type="http://schemas.openxmlformats.org/officeDocument/2006/relationships/hyperlink" Target="https://www.gov.uk/government/statistics/criminal-justice-system-statistics-quarterly-march-2016" TargetMode="External"/><Relationship Id="rId4"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gov.uk/government/statistics/knife-and-offensive-weapon-sentencing-statistics-year-ending-december-2020" TargetMode="External"/><Relationship Id="rId1" Type="http://schemas.openxmlformats.org/officeDocument/2006/relationships/hyperlink" Target="https://www.gov.uk/government/statistics/criminal-justice-system-statistics-quarterly-december-2020"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heetViews>
  <sheetFormatPr baseColWidth="10" defaultColWidth="8.83203125" defaultRowHeight="13"/>
  <sheetData>
    <row r="1" spans="1:3">
      <c r="A1" t="s">
        <v>0</v>
      </c>
    </row>
    <row r="2" spans="1:3" ht="409.6">
      <c r="B2" t="s">
        <v>1</v>
      </c>
      <c r="C2" s="4" t="s">
        <v>2</v>
      </c>
    </row>
    <row r="3" spans="1:3">
      <c r="B3" t="s">
        <v>3</v>
      </c>
      <c r="C3"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CE3E-586C-4FDD-9B36-04771B35E76A}">
  <sheetPr>
    <tabColor rgb="FFFFFF00"/>
  </sheetPr>
  <dimension ref="A1:X39"/>
  <sheetViews>
    <sheetView showGridLines="0" topLeftCell="A5" zoomScale="80" zoomScaleNormal="80" workbookViewId="0">
      <selection activeCell="A32" sqref="A32:S37"/>
    </sheetView>
  </sheetViews>
  <sheetFormatPr baseColWidth="10" defaultColWidth="9" defaultRowHeight="13"/>
  <cols>
    <col min="1" max="1" width="1.5" style="26" customWidth="1"/>
    <col min="2" max="2" width="8.5" style="26" customWidth="1"/>
    <col min="3" max="3" width="1.5" style="27" customWidth="1"/>
    <col min="4" max="4" width="11.33203125" style="26" customWidth="1"/>
    <col min="5" max="5" width="1.5" style="26" customWidth="1"/>
    <col min="6" max="6" width="9.5" style="26" customWidth="1"/>
    <col min="7" max="7" width="1.5" style="26" customWidth="1"/>
    <col min="8" max="8" width="13.1640625" style="26" customWidth="1"/>
    <col min="9" max="9" width="1.5" style="26" customWidth="1"/>
    <col min="10" max="10" width="10.6640625" style="26" customWidth="1"/>
    <col min="11" max="11" width="1.5" style="26" customWidth="1"/>
    <col min="12" max="12" width="8.6640625" style="26" customWidth="1"/>
    <col min="13" max="13" width="1.5" style="26" customWidth="1"/>
    <col min="14" max="14" width="9.1640625" style="26" customWidth="1"/>
    <col min="15" max="15" width="1.5" style="26" customWidth="1"/>
    <col min="16" max="16" width="9.5" style="26" customWidth="1"/>
    <col min="17" max="17" width="1.5" style="26" customWidth="1"/>
    <col min="18" max="18" width="13.5" style="28" customWidth="1"/>
    <col min="19" max="19" width="1.5" style="26" customWidth="1"/>
    <col min="20" max="16384" width="9" style="26"/>
  </cols>
  <sheetData>
    <row r="1" spans="1:24" ht="6" customHeight="1">
      <c r="A1" s="193"/>
      <c r="B1" s="193"/>
      <c r="C1" s="194"/>
      <c r="D1" s="193"/>
      <c r="E1" s="193"/>
      <c r="F1" s="193"/>
      <c r="G1" s="193"/>
      <c r="H1" s="193"/>
      <c r="I1" s="193"/>
      <c r="J1" s="193"/>
      <c r="K1" s="193"/>
      <c r="L1" s="193"/>
      <c r="M1" s="193"/>
      <c r="N1" s="193"/>
      <c r="O1" s="193"/>
      <c r="P1" s="193"/>
      <c r="Q1" s="193"/>
      <c r="R1" s="195"/>
      <c r="S1" s="193"/>
    </row>
    <row r="2" spans="1:24" ht="19.5" customHeight="1">
      <c r="A2" s="193"/>
      <c r="B2" s="129" t="s">
        <v>37</v>
      </c>
      <c r="C2" s="23"/>
      <c r="D2" s="24"/>
      <c r="E2" s="24"/>
      <c r="F2" s="24"/>
      <c r="G2" s="24"/>
      <c r="H2" s="24"/>
      <c r="I2" s="24"/>
      <c r="J2" s="24"/>
      <c r="K2" s="24"/>
      <c r="L2" s="24"/>
      <c r="M2" s="24"/>
      <c r="N2" s="24"/>
      <c r="O2" s="24"/>
      <c r="P2" s="24"/>
      <c r="Q2" s="24"/>
      <c r="R2" s="25"/>
      <c r="S2" s="193"/>
    </row>
    <row r="3" spans="1:24" ht="18" customHeight="1">
      <c r="A3" s="193"/>
      <c r="B3" s="78" t="s">
        <v>38</v>
      </c>
      <c r="C3" s="23"/>
      <c r="D3" s="24"/>
      <c r="E3" s="24"/>
      <c r="F3" s="24"/>
      <c r="G3" s="24"/>
      <c r="H3" s="24"/>
      <c r="I3" s="24"/>
      <c r="J3" s="24"/>
      <c r="K3" s="24"/>
      <c r="L3" s="24"/>
      <c r="M3" s="24"/>
      <c r="N3" s="24"/>
      <c r="O3" s="24"/>
      <c r="P3" s="24"/>
      <c r="Q3" s="24"/>
      <c r="R3" s="25"/>
      <c r="S3" s="193"/>
    </row>
    <row r="4" spans="1:24" ht="6" customHeight="1">
      <c r="A4" s="193"/>
      <c r="B4" s="78"/>
      <c r="C4" s="23"/>
      <c r="D4" s="24"/>
      <c r="E4" s="24"/>
      <c r="F4" s="24"/>
      <c r="G4" s="24"/>
      <c r="H4" s="24"/>
      <c r="I4" s="24"/>
      <c r="J4" s="24"/>
      <c r="K4" s="24"/>
      <c r="L4" s="24"/>
      <c r="M4" s="24"/>
      <c r="N4" s="24"/>
      <c r="O4" s="24"/>
      <c r="P4" s="24"/>
      <c r="Q4" s="24"/>
      <c r="R4" s="25"/>
      <c r="S4" s="193"/>
    </row>
    <row r="5" spans="1:24" s="29" customFormat="1" ht="75.75" customHeight="1">
      <c r="A5" s="196"/>
      <c r="B5" s="236" t="s">
        <v>6</v>
      </c>
      <c r="C5" s="237"/>
      <c r="D5" s="238" t="s">
        <v>7</v>
      </c>
      <c r="E5" s="238"/>
      <c r="F5" s="238" t="s">
        <v>8</v>
      </c>
      <c r="G5" s="238"/>
      <c r="H5" s="213" t="s">
        <v>39</v>
      </c>
      <c r="I5" s="238"/>
      <c r="J5" s="238" t="s">
        <v>9</v>
      </c>
      <c r="K5" s="238"/>
      <c r="L5" s="238" t="s">
        <v>10</v>
      </c>
      <c r="M5" s="238"/>
      <c r="N5" s="238" t="s">
        <v>40</v>
      </c>
      <c r="O5" s="238"/>
      <c r="P5" s="238" t="s">
        <v>12</v>
      </c>
      <c r="Q5" s="238"/>
      <c r="R5" s="214" t="s">
        <v>41</v>
      </c>
      <c r="S5" s="196"/>
      <c r="T5" s="192"/>
      <c r="U5" s="192"/>
      <c r="V5" s="192"/>
      <c r="W5" s="192"/>
      <c r="X5" s="192"/>
    </row>
    <row r="6" spans="1:24" s="29" customFormat="1" ht="6" customHeight="1">
      <c r="A6" s="196"/>
      <c r="B6" s="410"/>
      <c r="C6" s="411"/>
      <c r="D6" s="412"/>
      <c r="E6" s="412"/>
      <c r="F6" s="412"/>
      <c r="G6" s="412"/>
      <c r="H6" s="413"/>
      <c r="I6" s="412"/>
      <c r="J6" s="412"/>
      <c r="K6" s="412"/>
      <c r="L6" s="412"/>
      <c r="M6" s="412"/>
      <c r="N6" s="412"/>
      <c r="O6" s="412"/>
      <c r="P6" s="412"/>
      <c r="Q6" s="412"/>
      <c r="R6" s="414"/>
      <c r="S6" s="196"/>
      <c r="T6" s="192"/>
      <c r="U6" s="192"/>
      <c r="V6" s="192"/>
      <c r="W6" s="192"/>
      <c r="X6" s="192"/>
    </row>
    <row r="7" spans="1:24" ht="16">
      <c r="A7" s="138"/>
      <c r="B7" s="216" t="s">
        <v>20</v>
      </c>
      <c r="C7" s="221"/>
      <c r="D7" s="218">
        <v>336</v>
      </c>
      <c r="E7" s="218"/>
      <c r="F7" s="218">
        <v>2303</v>
      </c>
      <c r="G7" s="218"/>
      <c r="H7" s="218">
        <v>16283</v>
      </c>
      <c r="I7" s="218"/>
      <c r="J7" s="218">
        <v>11464</v>
      </c>
      <c r="K7" s="218"/>
      <c r="L7" s="218">
        <v>312</v>
      </c>
      <c r="M7" s="218"/>
      <c r="N7" s="218">
        <v>108</v>
      </c>
      <c r="O7" s="218"/>
      <c r="P7" s="219">
        <v>196</v>
      </c>
      <c r="Q7" s="219"/>
      <c r="R7" s="231">
        <v>31002</v>
      </c>
      <c r="S7" s="138"/>
      <c r="T7" s="118"/>
      <c r="U7" s="118"/>
      <c r="V7" s="118"/>
      <c r="W7" s="118"/>
      <c r="X7" s="118"/>
    </row>
    <row r="8" spans="1:24" ht="16">
      <c r="A8" s="138"/>
      <c r="B8" s="216" t="s">
        <v>21</v>
      </c>
      <c r="C8" s="221"/>
      <c r="D8" s="222">
        <v>339</v>
      </c>
      <c r="E8" s="222"/>
      <c r="F8" s="222">
        <v>2921</v>
      </c>
      <c r="G8" s="222"/>
      <c r="H8" s="222">
        <v>19547</v>
      </c>
      <c r="I8" s="222"/>
      <c r="J8" s="222">
        <v>14307</v>
      </c>
      <c r="K8" s="222"/>
      <c r="L8" s="222">
        <v>403</v>
      </c>
      <c r="M8" s="222"/>
      <c r="N8" s="222">
        <v>171</v>
      </c>
      <c r="O8" s="222"/>
      <c r="P8" s="223">
        <v>201</v>
      </c>
      <c r="Q8" s="223"/>
      <c r="R8" s="232">
        <v>37889</v>
      </c>
      <c r="S8" s="138"/>
      <c r="T8" s="118"/>
      <c r="U8" s="118"/>
      <c r="V8" s="118"/>
      <c r="W8" s="118"/>
      <c r="X8" s="118"/>
    </row>
    <row r="9" spans="1:24" ht="16">
      <c r="A9" s="138"/>
      <c r="B9" s="216" t="s">
        <v>22</v>
      </c>
      <c r="C9" s="221"/>
      <c r="D9" s="222">
        <v>361</v>
      </c>
      <c r="E9" s="222"/>
      <c r="F9" s="222">
        <v>3407</v>
      </c>
      <c r="G9" s="222"/>
      <c r="H9" s="222">
        <v>21867</v>
      </c>
      <c r="I9" s="222"/>
      <c r="J9" s="222">
        <v>19128</v>
      </c>
      <c r="K9" s="222"/>
      <c r="L9" s="222">
        <v>439</v>
      </c>
      <c r="M9" s="222"/>
      <c r="N9" s="222">
        <v>160</v>
      </c>
      <c r="O9" s="222"/>
      <c r="P9" s="223">
        <v>264</v>
      </c>
      <c r="Q9" s="223"/>
      <c r="R9" s="232">
        <v>45626</v>
      </c>
      <c r="S9" s="138"/>
    </row>
    <row r="10" spans="1:24" ht="16">
      <c r="A10" s="138"/>
      <c r="B10" s="216" t="s">
        <v>23</v>
      </c>
      <c r="C10" s="221"/>
      <c r="D10" s="222">
        <v>409</v>
      </c>
      <c r="E10" s="222"/>
      <c r="F10" s="222">
        <v>3938</v>
      </c>
      <c r="G10" s="222"/>
      <c r="H10" s="222">
        <v>22847</v>
      </c>
      <c r="I10" s="222"/>
      <c r="J10" s="222">
        <v>21145</v>
      </c>
      <c r="K10" s="222"/>
      <c r="L10" s="222">
        <v>524</v>
      </c>
      <c r="M10" s="222"/>
      <c r="N10" s="222">
        <v>158</v>
      </c>
      <c r="O10" s="222"/>
      <c r="P10" s="223">
        <v>250</v>
      </c>
      <c r="Q10" s="223"/>
      <c r="R10" s="232">
        <v>49271</v>
      </c>
      <c r="S10" s="138"/>
    </row>
    <row r="11" spans="1:24" ht="16">
      <c r="A11" s="138"/>
      <c r="B11" s="216" t="s">
        <v>24</v>
      </c>
      <c r="C11" s="221"/>
      <c r="D11" s="222">
        <v>463</v>
      </c>
      <c r="E11" s="222"/>
      <c r="F11" s="222">
        <v>4730</v>
      </c>
      <c r="G11" s="222"/>
      <c r="H11" s="222">
        <v>22898</v>
      </c>
      <c r="I11" s="222"/>
      <c r="J11" s="222">
        <v>22623</v>
      </c>
      <c r="K11" s="222"/>
      <c r="L11" s="222">
        <v>643</v>
      </c>
      <c r="M11" s="222"/>
      <c r="N11" s="222">
        <v>278</v>
      </c>
      <c r="O11" s="222"/>
      <c r="P11" s="223">
        <v>258</v>
      </c>
      <c r="Q11" s="223"/>
      <c r="R11" s="232">
        <v>51893</v>
      </c>
      <c r="S11" s="138"/>
    </row>
    <row r="12" spans="1:24" ht="16">
      <c r="A12" s="138"/>
      <c r="B12" s="216" t="s">
        <v>25</v>
      </c>
      <c r="C12" s="221"/>
      <c r="D12" s="222">
        <v>460</v>
      </c>
      <c r="E12" s="222"/>
      <c r="F12" s="222">
        <v>4761</v>
      </c>
      <c r="G12" s="222"/>
      <c r="H12" s="222">
        <v>20627</v>
      </c>
      <c r="I12" s="222"/>
      <c r="J12" s="222">
        <v>14788</v>
      </c>
      <c r="K12" s="222"/>
      <c r="L12" s="222">
        <v>542</v>
      </c>
      <c r="M12" s="222"/>
      <c r="N12" s="222">
        <v>206</v>
      </c>
      <c r="O12" s="222"/>
      <c r="P12" s="223">
        <v>225</v>
      </c>
      <c r="Q12" s="223"/>
      <c r="R12" s="232">
        <v>41609</v>
      </c>
      <c r="S12" s="138"/>
    </row>
    <row r="13" spans="1:24" ht="16">
      <c r="A13" s="138"/>
      <c r="B13" s="216" t="s">
        <v>26</v>
      </c>
      <c r="C13" s="221"/>
      <c r="D13" s="222">
        <v>418</v>
      </c>
      <c r="E13" s="222"/>
      <c r="F13" s="222">
        <v>5525</v>
      </c>
      <c r="G13" s="222"/>
      <c r="H13" s="222">
        <v>22646</v>
      </c>
      <c r="I13" s="222"/>
      <c r="J13" s="222">
        <v>15570</v>
      </c>
      <c r="K13" s="222"/>
      <c r="L13" s="222">
        <v>681</v>
      </c>
      <c r="M13" s="222"/>
      <c r="N13" s="222">
        <v>290</v>
      </c>
      <c r="O13" s="222"/>
      <c r="P13" s="223">
        <v>261</v>
      </c>
      <c r="Q13" s="223"/>
      <c r="R13" s="232">
        <v>45391</v>
      </c>
      <c r="S13" s="138"/>
    </row>
    <row r="14" spans="1:24" ht="28.5" customHeight="1">
      <c r="A14" s="138"/>
      <c r="B14" s="235" t="s">
        <v>31</v>
      </c>
      <c r="C14" s="220"/>
      <c r="D14" s="224"/>
      <c r="E14" s="224"/>
      <c r="F14" s="224"/>
      <c r="G14" s="224"/>
      <c r="H14" s="224"/>
      <c r="I14" s="224"/>
      <c r="J14" s="224"/>
      <c r="K14" s="224"/>
      <c r="L14" s="224"/>
      <c r="M14" s="224"/>
      <c r="N14" s="224"/>
      <c r="O14" s="224"/>
      <c r="P14" s="225"/>
      <c r="Q14" s="225"/>
      <c r="R14" s="233"/>
      <c r="S14" s="138"/>
    </row>
    <row r="15" spans="1:24" ht="28.5" customHeight="1">
      <c r="A15" s="138"/>
      <c r="B15" s="226" t="s">
        <v>42</v>
      </c>
      <c r="C15" s="227"/>
      <c r="D15" s="228">
        <v>-9.1304347826086985E-2</v>
      </c>
      <c r="E15" s="228" t="e">
        <v>#DIV/0!</v>
      </c>
      <c r="F15" s="228">
        <v>0.16047048939298469</v>
      </c>
      <c r="G15" s="228" t="e">
        <v>#DIV/0!</v>
      </c>
      <c r="H15" s="228">
        <v>9.7881417559509298E-2</v>
      </c>
      <c r="I15" s="228" t="e">
        <v>#DIV/0!</v>
      </c>
      <c r="J15" s="228">
        <v>5.2880714092507386E-2</v>
      </c>
      <c r="K15" s="228" t="e">
        <v>#DIV/0!</v>
      </c>
      <c r="L15" s="228">
        <v>0.25645756457564572</v>
      </c>
      <c r="M15" s="228" t="e">
        <v>#DIV/0!</v>
      </c>
      <c r="N15" s="228">
        <v>0.40776699029126218</v>
      </c>
      <c r="O15" s="228" t="e">
        <v>#DIV/0!</v>
      </c>
      <c r="P15" s="228">
        <v>0.15999999999999992</v>
      </c>
      <c r="Q15" s="228" t="e">
        <v>#DIV/0!</v>
      </c>
      <c r="R15" s="234">
        <v>9.0893797015068944E-2</v>
      </c>
      <c r="S15" s="138"/>
    </row>
    <row r="16" spans="1:24" ht="28.5" customHeight="1">
      <c r="A16" s="138"/>
      <c r="B16" s="229" t="s">
        <v>43</v>
      </c>
      <c r="C16" s="230"/>
      <c r="D16" s="228">
        <v>0.92626728110599088</v>
      </c>
      <c r="E16" s="228"/>
      <c r="F16" s="228">
        <v>2.9045936395759719</v>
      </c>
      <c r="G16" s="228"/>
      <c r="H16" s="228">
        <v>0.54717496754799488</v>
      </c>
      <c r="I16" s="228"/>
      <c r="J16" s="228">
        <v>-9.0962167211583345E-2</v>
      </c>
      <c r="K16" s="228"/>
      <c r="L16" s="228">
        <v>1.8374999999999999</v>
      </c>
      <c r="M16" s="228" t="e">
        <v>#DIV/0!</v>
      </c>
      <c r="N16" s="228">
        <v>2.4117647058823528</v>
      </c>
      <c r="O16" s="228" t="e">
        <v>#DIV/0!</v>
      </c>
      <c r="P16" s="228">
        <v>0.18636363636363629</v>
      </c>
      <c r="Q16" s="228" t="e">
        <v>#DIV/0!</v>
      </c>
      <c r="R16" s="234">
        <v>0.33731070649932199</v>
      </c>
      <c r="S16" s="138"/>
    </row>
    <row r="17" spans="1:21" ht="6" customHeight="1">
      <c r="A17" s="138"/>
      <c r="B17" s="199"/>
      <c r="C17" s="197"/>
      <c r="D17" s="200"/>
      <c r="E17" s="200"/>
      <c r="F17" s="200"/>
      <c r="G17" s="200"/>
      <c r="H17" s="200"/>
      <c r="I17" s="200"/>
      <c r="J17" s="200"/>
      <c r="K17" s="200"/>
      <c r="L17" s="200"/>
      <c r="M17" s="200"/>
      <c r="N17" s="200"/>
      <c r="O17" s="200"/>
      <c r="P17" s="201"/>
      <c r="Q17" s="201"/>
      <c r="R17" s="198"/>
      <c r="S17" s="138"/>
    </row>
    <row r="18" spans="1:21" ht="3.75" customHeight="1">
      <c r="A18" s="138"/>
      <c r="B18" s="202"/>
      <c r="C18" s="203"/>
      <c r="D18" s="204"/>
      <c r="E18" s="204"/>
      <c r="F18" s="204"/>
      <c r="G18" s="204"/>
      <c r="H18" s="204"/>
      <c r="I18" s="204"/>
      <c r="J18" s="204"/>
      <c r="K18" s="204"/>
      <c r="L18" s="204"/>
      <c r="M18" s="204"/>
      <c r="N18" s="204"/>
      <c r="O18" s="204"/>
      <c r="P18" s="204"/>
      <c r="Q18" s="204"/>
      <c r="R18" s="205"/>
      <c r="S18" s="138"/>
    </row>
    <row r="19" spans="1:21" ht="16.5" customHeight="1">
      <c r="A19" s="193"/>
      <c r="B19" s="717" t="s">
        <v>44</v>
      </c>
      <c r="C19" s="717"/>
      <c r="D19" s="717"/>
      <c r="E19" s="717"/>
      <c r="F19" s="717"/>
      <c r="G19" s="717"/>
      <c r="H19" s="717"/>
      <c r="I19" s="717"/>
      <c r="J19" s="717"/>
      <c r="K19" s="717"/>
      <c r="L19" s="717"/>
      <c r="M19" s="717"/>
      <c r="N19" s="717"/>
      <c r="O19" s="717"/>
      <c r="P19" s="717"/>
      <c r="Q19" s="717"/>
      <c r="R19" s="717"/>
      <c r="S19" s="193"/>
    </row>
    <row r="20" spans="1:21" ht="6" customHeight="1">
      <c r="A20" s="138"/>
      <c r="B20" s="206"/>
      <c r="C20" s="207"/>
      <c r="D20" s="207"/>
      <c r="E20" s="207"/>
      <c r="F20" s="207"/>
      <c r="G20" s="207"/>
      <c r="H20" s="207"/>
      <c r="I20" s="207"/>
      <c r="J20" s="207"/>
      <c r="K20" s="207"/>
      <c r="L20" s="207"/>
      <c r="M20" s="207"/>
      <c r="N20" s="207"/>
      <c r="O20" s="207"/>
      <c r="P20" s="207"/>
      <c r="Q20" s="207"/>
      <c r="R20" s="207"/>
      <c r="S20" s="138"/>
    </row>
    <row r="21" spans="1:21" ht="56">
      <c r="A21" s="138"/>
      <c r="B21" s="236" t="s">
        <v>6</v>
      </c>
      <c r="C21" s="237"/>
      <c r="D21" s="238" t="s">
        <v>7</v>
      </c>
      <c r="E21" s="238"/>
      <c r="F21" s="238" t="s">
        <v>8</v>
      </c>
      <c r="G21" s="238"/>
      <c r="H21" s="213" t="s">
        <v>39</v>
      </c>
      <c r="I21" s="238"/>
      <c r="J21" s="238" t="s">
        <v>9</v>
      </c>
      <c r="K21" s="238"/>
      <c r="L21" s="238" t="s">
        <v>10</v>
      </c>
      <c r="M21" s="238"/>
      <c r="N21" s="238" t="s">
        <v>40</v>
      </c>
      <c r="O21" s="238"/>
      <c r="P21" s="238" t="s">
        <v>12</v>
      </c>
      <c r="Q21" s="238"/>
      <c r="R21" s="214"/>
      <c r="S21" s="138"/>
    </row>
    <row r="22" spans="1:21" ht="6" customHeight="1">
      <c r="A22" s="138"/>
      <c r="B22" s="239"/>
      <c r="C22" s="207"/>
      <c r="D22" s="207"/>
      <c r="E22" s="207"/>
      <c r="F22" s="207"/>
      <c r="G22" s="207"/>
      <c r="H22" s="207"/>
      <c r="I22" s="207"/>
      <c r="J22" s="207"/>
      <c r="K22" s="207"/>
      <c r="L22" s="207"/>
      <c r="M22" s="207"/>
      <c r="N22" s="207"/>
      <c r="O22" s="207"/>
      <c r="P22" s="207"/>
      <c r="Q22" s="207"/>
      <c r="R22" s="207"/>
      <c r="S22" s="138"/>
    </row>
    <row r="23" spans="1:21" ht="14.25" customHeight="1">
      <c r="A23" s="138"/>
      <c r="B23" s="216" t="s">
        <v>20</v>
      </c>
      <c r="C23" s="221"/>
      <c r="D23" s="241">
        <v>1.083801045093865E-2</v>
      </c>
      <c r="E23" s="241">
        <v>0</v>
      </c>
      <c r="F23" s="241">
        <v>7.4285529965808658E-2</v>
      </c>
      <c r="G23" s="241">
        <v>0</v>
      </c>
      <c r="H23" s="241">
        <v>0.52522417908522034</v>
      </c>
      <c r="I23" s="241">
        <v>0</v>
      </c>
      <c r="J23" s="241">
        <v>0.36978259467131153</v>
      </c>
      <c r="K23" s="241">
        <v>0</v>
      </c>
      <c r="L23" s="241">
        <v>1.0063866847300174E-2</v>
      </c>
      <c r="M23" s="241">
        <v>0</v>
      </c>
      <c r="N23" s="241">
        <v>3.4836462163731373E-3</v>
      </c>
      <c r="O23" s="241">
        <v>0</v>
      </c>
      <c r="P23" s="241">
        <v>6.3221727630475453E-3</v>
      </c>
      <c r="Q23" s="241"/>
      <c r="R23" s="209"/>
      <c r="S23" s="138"/>
    </row>
    <row r="24" spans="1:21" ht="14.25" customHeight="1">
      <c r="A24" s="138"/>
      <c r="B24" s="216" t="s">
        <v>21</v>
      </c>
      <c r="C24" s="221"/>
      <c r="D24" s="241">
        <v>8.9471878381588328E-3</v>
      </c>
      <c r="E24" s="241">
        <v>0</v>
      </c>
      <c r="F24" s="241">
        <v>7.7093615561244694E-2</v>
      </c>
      <c r="G24" s="241">
        <v>0</v>
      </c>
      <c r="H24" s="241">
        <v>0.51590171289820264</v>
      </c>
      <c r="I24" s="241">
        <v>0</v>
      </c>
      <c r="J24" s="241">
        <v>0.37760299823167676</v>
      </c>
      <c r="K24" s="241">
        <v>0</v>
      </c>
      <c r="L24" s="241">
        <v>1.0636332444772889E-2</v>
      </c>
      <c r="M24" s="241">
        <v>0</v>
      </c>
      <c r="N24" s="241">
        <v>4.5131832457969328E-3</v>
      </c>
      <c r="O24" s="241">
        <v>0</v>
      </c>
      <c r="P24" s="241">
        <v>5.304969780147272E-3</v>
      </c>
      <c r="Q24" s="241"/>
      <c r="R24" s="209"/>
      <c r="S24" s="138"/>
    </row>
    <row r="25" spans="1:21" ht="14.25" customHeight="1">
      <c r="A25" s="138"/>
      <c r="B25" s="216" t="s">
        <v>22</v>
      </c>
      <c r="C25" s="221"/>
      <c r="D25" s="228">
        <v>7.9121553500197256E-3</v>
      </c>
      <c r="E25" s="228">
        <v>0</v>
      </c>
      <c r="F25" s="228">
        <v>7.4672335948801127E-2</v>
      </c>
      <c r="G25" s="228">
        <v>0</v>
      </c>
      <c r="H25" s="228">
        <v>0.47926620786393725</v>
      </c>
      <c r="I25" s="228">
        <v>0</v>
      </c>
      <c r="J25" s="228">
        <v>0.41923464691184853</v>
      </c>
      <c r="K25" s="228">
        <v>0</v>
      </c>
      <c r="L25" s="228">
        <v>9.6217069214921316E-3</v>
      </c>
      <c r="M25" s="228">
        <v>0</v>
      </c>
      <c r="N25" s="228">
        <v>3.5067724543023713E-3</v>
      </c>
      <c r="O25" s="228">
        <v>0</v>
      </c>
      <c r="P25" s="228">
        <v>5.7861745495989131E-3</v>
      </c>
      <c r="Q25" s="241"/>
      <c r="R25" s="210"/>
      <c r="S25" s="138"/>
    </row>
    <row r="26" spans="1:21" ht="14.25" customHeight="1">
      <c r="A26" s="138"/>
      <c r="B26" s="216" t="s">
        <v>23</v>
      </c>
      <c r="C26" s="221"/>
      <c r="D26" s="228">
        <v>8.3010290028617244E-3</v>
      </c>
      <c r="E26" s="228">
        <v>0</v>
      </c>
      <c r="F26" s="228">
        <v>7.9925311034888674E-2</v>
      </c>
      <c r="G26" s="228">
        <v>0</v>
      </c>
      <c r="H26" s="228">
        <v>0.46370075703760832</v>
      </c>
      <c r="I26" s="228">
        <v>0</v>
      </c>
      <c r="J26" s="228">
        <v>0.42915711067362139</v>
      </c>
      <c r="K26" s="228">
        <v>0</v>
      </c>
      <c r="L26" s="228">
        <v>1.063505916259057E-2</v>
      </c>
      <c r="M26" s="228">
        <v>0</v>
      </c>
      <c r="N26" s="228">
        <v>3.2067544803231112E-3</v>
      </c>
      <c r="O26" s="228">
        <v>0</v>
      </c>
      <c r="P26" s="228">
        <v>5.0739786081061885E-3</v>
      </c>
      <c r="Q26" s="241">
        <v>0</v>
      </c>
      <c r="R26" s="204"/>
      <c r="S26" s="138"/>
    </row>
    <row r="27" spans="1:21" ht="14.25" customHeight="1">
      <c r="A27" s="138"/>
      <c r="B27" s="216" t="s">
        <v>24</v>
      </c>
      <c r="C27" s="221"/>
      <c r="D27" s="228">
        <v>8.9222053070741724E-3</v>
      </c>
      <c r="E27" s="228">
        <v>0</v>
      </c>
      <c r="F27" s="228">
        <v>9.1149095253695106E-2</v>
      </c>
      <c r="G27" s="228">
        <v>0</v>
      </c>
      <c r="H27" s="228">
        <v>0.44125411905266604</v>
      </c>
      <c r="I27" s="228">
        <v>0</v>
      </c>
      <c r="J27" s="228">
        <v>0.43595475304954423</v>
      </c>
      <c r="K27" s="228">
        <v>0</v>
      </c>
      <c r="L27" s="228">
        <v>1.2390881236390264E-2</v>
      </c>
      <c r="M27" s="228">
        <v>0</v>
      </c>
      <c r="N27" s="228">
        <v>5.3571772686104102E-3</v>
      </c>
      <c r="O27" s="228">
        <v>0</v>
      </c>
      <c r="P27" s="228">
        <v>4.9717688320197332E-3</v>
      </c>
      <c r="Q27" s="241"/>
      <c r="R27" s="204"/>
      <c r="S27" s="138"/>
    </row>
    <row r="28" spans="1:21" ht="14.25" customHeight="1">
      <c r="A28" s="138"/>
      <c r="B28" s="216" t="s">
        <v>25</v>
      </c>
      <c r="C28" s="221"/>
      <c r="D28" s="228">
        <v>1.1055300535941743E-2</v>
      </c>
      <c r="E28" s="228">
        <v>0</v>
      </c>
      <c r="F28" s="228">
        <v>0.11442236054699705</v>
      </c>
      <c r="G28" s="228">
        <v>0</v>
      </c>
      <c r="H28" s="228">
        <v>0.49573409598884854</v>
      </c>
      <c r="I28" s="228">
        <v>0</v>
      </c>
      <c r="J28" s="228">
        <v>0.3554038789684924</v>
      </c>
      <c r="K28" s="228">
        <v>0</v>
      </c>
      <c r="L28" s="228">
        <v>1.3026028022783532E-2</v>
      </c>
      <c r="M28" s="228">
        <v>0</v>
      </c>
      <c r="N28" s="228">
        <v>4.9508519791391283E-3</v>
      </c>
      <c r="O28" s="228">
        <v>0</v>
      </c>
      <c r="P28" s="228">
        <v>5.4074839577975915E-3</v>
      </c>
      <c r="Q28" s="241"/>
      <c r="R28" s="204"/>
      <c r="S28" s="138"/>
    </row>
    <row r="29" spans="1:21" ht="14.25" customHeight="1">
      <c r="A29" s="138"/>
      <c r="B29" s="408" t="s">
        <v>26</v>
      </c>
      <c r="C29" s="221"/>
      <c r="D29" s="228">
        <v>9.2088740058601931E-3</v>
      </c>
      <c r="E29" s="228">
        <v>0</v>
      </c>
      <c r="F29" s="228">
        <v>0.12172016479037695</v>
      </c>
      <c r="G29" s="228">
        <v>0</v>
      </c>
      <c r="H29" s="228">
        <v>0.49890947544667447</v>
      </c>
      <c r="I29" s="228">
        <v>0</v>
      </c>
      <c r="J29" s="228">
        <v>0.34301954131876361</v>
      </c>
      <c r="K29" s="228">
        <v>0</v>
      </c>
      <c r="L29" s="228">
        <v>1.5002974157872707E-2</v>
      </c>
      <c r="M29" s="228">
        <v>0</v>
      </c>
      <c r="N29" s="228">
        <v>6.3889317265537222E-3</v>
      </c>
      <c r="O29" s="228">
        <v>0</v>
      </c>
      <c r="P29" s="228">
        <v>5.7500385538983498E-3</v>
      </c>
      <c r="Q29" s="241"/>
      <c r="R29" s="204"/>
      <c r="S29" s="138"/>
    </row>
    <row r="30" spans="1:21" ht="6" customHeight="1">
      <c r="A30" s="138"/>
      <c r="B30" s="245"/>
      <c r="C30" s="246"/>
      <c r="D30" s="247"/>
      <c r="E30" s="247"/>
      <c r="F30" s="247"/>
      <c r="G30" s="247"/>
      <c r="H30" s="247"/>
      <c r="I30" s="247"/>
      <c r="J30" s="247"/>
      <c r="K30" s="247"/>
      <c r="L30" s="247"/>
      <c r="M30" s="247"/>
      <c r="N30" s="247"/>
      <c r="O30" s="247"/>
      <c r="P30" s="247"/>
      <c r="Q30" s="141"/>
      <c r="R30" s="248"/>
      <c r="S30" s="138"/>
    </row>
    <row r="31" spans="1:21" s="118" customFormat="1" ht="6" customHeight="1">
      <c r="A31" s="138"/>
      <c r="B31" s="211"/>
      <c r="C31" s="212"/>
      <c r="D31" s="208"/>
      <c r="E31" s="208"/>
      <c r="F31" s="208"/>
      <c r="G31" s="208"/>
      <c r="H31" s="208"/>
      <c r="I31" s="208"/>
      <c r="J31" s="208"/>
      <c r="K31" s="208"/>
      <c r="L31" s="208"/>
      <c r="M31" s="208"/>
      <c r="N31" s="208"/>
      <c r="O31" s="208"/>
      <c r="P31" s="208"/>
      <c r="Q31" s="138"/>
      <c r="R31" s="83"/>
      <c r="S31" s="138"/>
    </row>
    <row r="32" spans="1:21" ht="16.5" customHeight="1">
      <c r="A32" s="138"/>
      <c r="B32" s="242" t="s">
        <v>34</v>
      </c>
      <c r="C32" s="243"/>
      <c r="D32" s="138"/>
      <c r="E32" s="138"/>
      <c r="F32" s="138"/>
      <c r="G32" s="138"/>
      <c r="H32" s="138"/>
      <c r="I32" s="138"/>
      <c r="J32" s="138"/>
      <c r="K32" s="138"/>
      <c r="L32" s="138"/>
      <c r="M32" s="138"/>
      <c r="N32" s="138"/>
      <c r="O32" s="138"/>
      <c r="P32" s="138"/>
      <c r="Q32" s="240"/>
      <c r="R32" s="244"/>
      <c r="S32" s="138"/>
      <c r="T32" s="118"/>
      <c r="U32" s="118"/>
    </row>
    <row r="33" spans="1:21" ht="27" customHeight="1">
      <c r="A33" s="138"/>
      <c r="B33" s="719" t="s">
        <v>45</v>
      </c>
      <c r="C33" s="719"/>
      <c r="D33" s="719"/>
      <c r="E33" s="719"/>
      <c r="F33" s="719"/>
      <c r="G33" s="719"/>
      <c r="H33" s="719"/>
      <c r="I33" s="719"/>
      <c r="J33" s="719"/>
      <c r="K33" s="719"/>
      <c r="L33" s="719"/>
      <c r="M33" s="719"/>
      <c r="N33" s="719"/>
      <c r="O33" s="719"/>
      <c r="P33" s="719"/>
      <c r="Q33" s="719"/>
      <c r="R33" s="719"/>
      <c r="S33" s="138"/>
      <c r="T33" s="118"/>
      <c r="U33" s="118"/>
    </row>
    <row r="34" spans="1:21" ht="100" customHeight="1">
      <c r="A34" s="138"/>
      <c r="B34" s="719" t="s">
        <v>46</v>
      </c>
      <c r="C34" s="719"/>
      <c r="D34" s="719"/>
      <c r="E34" s="719"/>
      <c r="F34" s="719"/>
      <c r="G34" s="719"/>
      <c r="H34" s="719"/>
      <c r="I34" s="719"/>
      <c r="J34" s="719"/>
      <c r="K34" s="719"/>
      <c r="L34" s="719"/>
      <c r="M34" s="719"/>
      <c r="N34" s="719"/>
      <c r="O34" s="719"/>
      <c r="P34" s="719"/>
      <c r="Q34" s="719"/>
      <c r="R34" s="719"/>
      <c r="S34" s="138"/>
      <c r="T34" s="118"/>
      <c r="U34" s="118"/>
    </row>
    <row r="35" spans="1:21" ht="6" customHeight="1">
      <c r="A35" s="138"/>
      <c r="B35" s="249"/>
      <c r="C35" s="249"/>
      <c r="D35" s="249"/>
      <c r="E35" s="249"/>
      <c r="F35" s="249"/>
      <c r="G35" s="249"/>
      <c r="H35" s="249"/>
      <c r="I35" s="249"/>
      <c r="J35" s="249"/>
      <c r="K35" s="249"/>
      <c r="L35" s="249"/>
      <c r="M35" s="249"/>
      <c r="N35" s="249"/>
      <c r="O35" s="249"/>
      <c r="P35" s="249"/>
      <c r="Q35" s="249"/>
      <c r="R35" s="249"/>
      <c r="S35" s="138"/>
      <c r="T35" s="118"/>
      <c r="U35" s="118"/>
    </row>
    <row r="36" spans="1:21" ht="14.25" customHeight="1">
      <c r="A36" s="138"/>
      <c r="B36" s="249" t="s">
        <v>36</v>
      </c>
      <c r="C36" s="249"/>
      <c r="D36" s="249"/>
      <c r="E36" s="249"/>
      <c r="F36" s="249"/>
      <c r="G36" s="249"/>
      <c r="H36" s="249"/>
      <c r="I36" s="249"/>
      <c r="J36" s="249"/>
      <c r="K36" s="249"/>
      <c r="L36" s="249"/>
      <c r="M36" s="249"/>
      <c r="N36" s="249"/>
      <c r="O36" s="249"/>
      <c r="P36" s="249"/>
      <c r="Q36" s="249"/>
      <c r="R36" s="249"/>
      <c r="S36" s="138"/>
      <c r="T36" s="118"/>
      <c r="U36" s="118"/>
    </row>
    <row r="37" spans="1:21">
      <c r="A37" s="250"/>
      <c r="B37" s="373" t="s">
        <v>47</v>
      </c>
      <c r="C37" s="251"/>
      <c r="D37" s="252"/>
      <c r="E37" s="252"/>
      <c r="F37" s="252"/>
      <c r="G37" s="252"/>
      <c r="H37" s="252"/>
      <c r="I37" s="252"/>
      <c r="J37" s="252"/>
      <c r="K37" s="252"/>
      <c r="L37" s="252"/>
      <c r="M37" s="252"/>
      <c r="N37" s="252"/>
      <c r="O37" s="252"/>
      <c r="P37" s="252"/>
      <c r="Q37" s="250"/>
      <c r="R37" s="253"/>
      <c r="S37" s="138"/>
    </row>
    <row r="38" spans="1:21" ht="6" customHeight="1">
      <c r="A38" s="138"/>
      <c r="B38" s="374"/>
      <c r="C38" s="243"/>
      <c r="D38" s="138"/>
      <c r="E38" s="138"/>
      <c r="F38" s="138"/>
      <c r="G38" s="138"/>
      <c r="H38" s="138"/>
      <c r="I38" s="138"/>
      <c r="J38" s="138"/>
      <c r="K38" s="138"/>
      <c r="L38" s="138"/>
      <c r="M38" s="138"/>
      <c r="N38" s="138"/>
      <c r="O38" s="138"/>
      <c r="P38" s="138"/>
      <c r="Q38" s="138"/>
      <c r="R38" s="83"/>
      <c r="S38" s="138"/>
    </row>
    <row r="39" spans="1:21">
      <c r="B39" s="375"/>
    </row>
  </sheetData>
  <mergeCells count="3">
    <mergeCell ref="B19:R19"/>
    <mergeCell ref="B33:R33"/>
    <mergeCell ref="B34:R34"/>
  </mergeCells>
  <hyperlinks>
    <hyperlink ref="B37" r:id="rId1" xr:uid="{B8D4C494-86D5-41EC-9D4F-2733D4FF54F8}"/>
  </hyperlinks>
  <pageMargins left="0.7" right="0.7" top="0.75" bottom="0.75" header="0.3" footer="0.3"/>
  <pageSetup paperSize="9" orientation="portrait"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1"/>
  <sheetViews>
    <sheetView showGridLines="0" zoomScale="80" zoomScaleNormal="80" workbookViewId="0">
      <selection activeCell="U10" sqref="U10"/>
    </sheetView>
  </sheetViews>
  <sheetFormatPr baseColWidth="10" defaultColWidth="9" defaultRowHeight="13"/>
  <cols>
    <col min="1" max="1" width="1.5" style="26" customWidth="1"/>
    <col min="2" max="2" width="8.5" style="26" customWidth="1"/>
    <col min="3" max="3" width="1.5" style="27" customWidth="1"/>
    <col min="4" max="4" width="10.33203125" style="26" customWidth="1"/>
    <col min="5" max="5" width="1.5" style="26" customWidth="1"/>
    <col min="6" max="6" width="7.6640625" style="26" customWidth="1"/>
    <col min="7" max="7" width="1.5" style="26" customWidth="1"/>
    <col min="8" max="8" width="13.5" style="26" customWidth="1"/>
    <col min="9" max="9" width="1.5" style="26" customWidth="1"/>
    <col min="10" max="10" width="10.33203125" style="26" customWidth="1"/>
    <col min="11" max="11" width="1.5" style="26" customWidth="1"/>
    <col min="12" max="12" width="7.5" style="26" customWidth="1"/>
    <col min="13" max="13" width="1.5" style="26" customWidth="1"/>
    <col min="14" max="14" width="8.33203125" style="26" customWidth="1"/>
    <col min="15" max="15" width="1.5" style="26" customWidth="1"/>
    <col min="16" max="16" width="9.5" style="26" customWidth="1"/>
    <col min="17" max="17" width="1.5" style="26" customWidth="1"/>
    <col min="18" max="18" width="13.5" style="28" customWidth="1"/>
    <col min="19" max="19" width="1.5" style="26" customWidth="1"/>
    <col min="20" max="16384" width="9" style="26"/>
  </cols>
  <sheetData>
    <row r="1" spans="1:24" ht="6" customHeight="1">
      <c r="A1" s="193"/>
      <c r="B1" s="193"/>
      <c r="C1" s="194"/>
      <c r="D1" s="193"/>
      <c r="E1" s="193"/>
      <c r="F1" s="193"/>
      <c r="G1" s="193"/>
      <c r="H1" s="193"/>
      <c r="I1" s="193"/>
      <c r="J1" s="193"/>
      <c r="K1" s="193"/>
      <c r="L1" s="193"/>
      <c r="M1" s="193"/>
      <c r="N1" s="193"/>
      <c r="O1" s="193"/>
      <c r="P1" s="193"/>
      <c r="Q1" s="193"/>
      <c r="R1" s="195"/>
      <c r="S1" s="193"/>
    </row>
    <row r="2" spans="1:24" ht="19.5" customHeight="1">
      <c r="A2" s="193"/>
      <c r="B2" s="129" t="s">
        <v>37</v>
      </c>
      <c r="C2" s="23"/>
      <c r="D2" s="24"/>
      <c r="E2" s="24"/>
      <c r="F2" s="24"/>
      <c r="G2" s="24"/>
      <c r="H2" s="24"/>
      <c r="I2" s="24"/>
      <c r="J2" s="24"/>
      <c r="K2" s="24"/>
      <c r="L2" s="24"/>
      <c r="M2" s="24"/>
      <c r="N2" s="24"/>
      <c r="O2" s="24"/>
      <c r="P2" s="24"/>
      <c r="Q2" s="24"/>
      <c r="R2" s="25"/>
      <c r="S2" s="193"/>
    </row>
    <row r="3" spans="1:24" ht="18" customHeight="1">
      <c r="A3" s="193"/>
      <c r="B3" s="78" t="s">
        <v>48</v>
      </c>
      <c r="C3" s="23"/>
      <c r="D3" s="24"/>
      <c r="E3" s="24"/>
      <c r="F3" s="24"/>
      <c r="G3" s="24"/>
      <c r="H3" s="24"/>
      <c r="I3" s="24"/>
      <c r="J3" s="24"/>
      <c r="K3" s="24"/>
      <c r="L3" s="24"/>
      <c r="M3" s="24"/>
      <c r="N3" s="24"/>
      <c r="O3" s="24"/>
      <c r="P3" s="24"/>
      <c r="Q3" s="24"/>
      <c r="R3" s="25"/>
      <c r="S3" s="193"/>
    </row>
    <row r="4" spans="1:24" s="29" customFormat="1" ht="60" customHeight="1">
      <c r="A4" s="196"/>
      <c r="B4" s="254" t="s">
        <v>6</v>
      </c>
      <c r="C4" s="255"/>
      <c r="D4" s="256" t="s">
        <v>7</v>
      </c>
      <c r="E4" s="256"/>
      <c r="F4" s="256" t="s">
        <v>8</v>
      </c>
      <c r="G4" s="256"/>
      <c r="H4" s="213" t="s">
        <v>39</v>
      </c>
      <c r="I4" s="256"/>
      <c r="J4" s="256" t="s">
        <v>9</v>
      </c>
      <c r="K4" s="256"/>
      <c r="L4" s="256" t="s">
        <v>10</v>
      </c>
      <c r="M4" s="256"/>
      <c r="N4" s="256" t="s">
        <v>40</v>
      </c>
      <c r="O4" s="256"/>
      <c r="P4" s="256" t="s">
        <v>12</v>
      </c>
      <c r="Q4" s="256"/>
      <c r="R4" s="401" t="s">
        <v>41</v>
      </c>
      <c r="S4" s="196"/>
      <c r="T4" s="192"/>
      <c r="U4" s="192"/>
      <c r="V4" s="192"/>
      <c r="W4" s="192"/>
      <c r="X4" s="192"/>
    </row>
    <row r="5" spans="1:24" ht="12.75" hidden="1" customHeight="1">
      <c r="A5" s="138"/>
      <c r="B5" s="216" t="s">
        <v>49</v>
      </c>
      <c r="C5" s="220"/>
      <c r="D5" s="218">
        <v>275</v>
      </c>
      <c r="E5" s="218"/>
      <c r="F5" s="218">
        <v>1564</v>
      </c>
      <c r="G5" s="218"/>
      <c r="H5" s="218">
        <v>17193</v>
      </c>
      <c r="I5" s="218"/>
      <c r="J5" s="218">
        <v>16695</v>
      </c>
      <c r="K5" s="218"/>
      <c r="L5" s="218">
        <v>231</v>
      </c>
      <c r="M5" s="218"/>
      <c r="N5" s="218">
        <v>134</v>
      </c>
      <c r="O5" s="218"/>
      <c r="P5" s="218">
        <v>255</v>
      </c>
      <c r="Q5" s="218"/>
      <c r="R5" s="218">
        <v>36347</v>
      </c>
      <c r="S5" s="138"/>
      <c r="T5" s="118"/>
      <c r="U5" s="118"/>
      <c r="V5" s="118"/>
      <c r="W5" s="118"/>
      <c r="X5" s="118"/>
    </row>
    <row r="6" spans="1:24" ht="15" hidden="1" customHeight="1">
      <c r="A6" s="138"/>
      <c r="B6" s="216" t="s">
        <v>50</v>
      </c>
      <c r="C6" s="220"/>
      <c r="D6" s="218">
        <v>262</v>
      </c>
      <c r="E6" s="218"/>
      <c r="F6" s="218">
        <v>1520</v>
      </c>
      <c r="G6" s="218"/>
      <c r="H6" s="218">
        <v>15869</v>
      </c>
      <c r="I6" s="218"/>
      <c r="J6" s="218">
        <v>15590</v>
      </c>
      <c r="K6" s="218"/>
      <c r="L6" s="218">
        <v>229</v>
      </c>
      <c r="M6" s="218"/>
      <c r="N6" s="218">
        <v>94</v>
      </c>
      <c r="O6" s="218"/>
      <c r="P6" s="218">
        <v>210</v>
      </c>
      <c r="Q6" s="218"/>
      <c r="R6" s="218">
        <v>33774</v>
      </c>
      <c r="S6" s="138"/>
      <c r="T6" s="118"/>
      <c r="U6" s="118"/>
      <c r="V6" s="118"/>
      <c r="W6" s="118"/>
      <c r="X6" s="118"/>
    </row>
    <row r="7" spans="1:24" ht="18" customHeight="1">
      <c r="A7" s="138"/>
      <c r="B7" s="235" t="s">
        <v>14</v>
      </c>
      <c r="C7" s="257"/>
      <c r="D7" s="231"/>
      <c r="E7" s="218"/>
      <c r="F7" s="218"/>
      <c r="G7" s="218"/>
      <c r="H7" s="218"/>
      <c r="I7" s="218"/>
      <c r="J7" s="218"/>
      <c r="K7" s="218"/>
      <c r="L7" s="218"/>
      <c r="M7" s="218"/>
      <c r="N7" s="218"/>
      <c r="O7" s="218"/>
      <c r="P7" s="218"/>
      <c r="Q7" s="218"/>
      <c r="R7" s="218"/>
      <c r="S7" s="138"/>
      <c r="T7" s="118"/>
      <c r="U7" s="118"/>
      <c r="V7" s="118"/>
      <c r="W7" s="118"/>
      <c r="X7" s="118"/>
    </row>
    <row r="8" spans="1:24" ht="16">
      <c r="A8" s="138"/>
      <c r="B8" s="216" t="s">
        <v>15</v>
      </c>
      <c r="C8" s="217"/>
      <c r="D8" s="218">
        <v>240</v>
      </c>
      <c r="E8" s="218"/>
      <c r="F8" s="218">
        <v>1428</v>
      </c>
      <c r="G8" s="218"/>
      <c r="H8" s="218">
        <v>14634</v>
      </c>
      <c r="I8" s="218"/>
      <c r="J8" s="218">
        <v>17544</v>
      </c>
      <c r="K8" s="218"/>
      <c r="L8" s="218">
        <v>258</v>
      </c>
      <c r="M8" s="218"/>
      <c r="N8" s="218">
        <v>93</v>
      </c>
      <c r="O8" s="218"/>
      <c r="P8" s="219">
        <v>237</v>
      </c>
      <c r="Q8" s="219"/>
      <c r="R8" s="231">
        <v>34434</v>
      </c>
      <c r="S8" s="138"/>
      <c r="T8" s="118"/>
      <c r="U8" s="118"/>
      <c r="V8" s="118"/>
      <c r="W8" s="118"/>
      <c r="X8" s="118"/>
    </row>
    <row r="9" spans="1:24" ht="16">
      <c r="A9" s="138"/>
      <c r="B9" s="216" t="s">
        <v>16</v>
      </c>
      <c r="C9" s="217"/>
      <c r="D9" s="218">
        <v>246</v>
      </c>
      <c r="E9" s="218"/>
      <c r="F9" s="218">
        <v>1145</v>
      </c>
      <c r="G9" s="218"/>
      <c r="H9" s="218">
        <v>13180</v>
      </c>
      <c r="I9" s="218"/>
      <c r="J9" s="218">
        <v>17210</v>
      </c>
      <c r="K9" s="218"/>
      <c r="L9" s="218">
        <v>237</v>
      </c>
      <c r="M9" s="218"/>
      <c r="N9" s="218">
        <v>72</v>
      </c>
      <c r="O9" s="218"/>
      <c r="P9" s="219">
        <v>209</v>
      </c>
      <c r="Q9" s="219"/>
      <c r="R9" s="231">
        <v>32299</v>
      </c>
      <c r="S9" s="138"/>
      <c r="T9" s="118"/>
      <c r="U9" s="118"/>
      <c r="V9" s="118"/>
      <c r="W9" s="118"/>
      <c r="X9" s="118"/>
    </row>
    <row r="10" spans="1:24" ht="16">
      <c r="A10" s="138"/>
      <c r="B10" s="216" t="s">
        <v>17</v>
      </c>
      <c r="C10" s="217"/>
      <c r="D10" s="218">
        <v>198</v>
      </c>
      <c r="E10" s="218"/>
      <c r="F10" s="218">
        <v>1147</v>
      </c>
      <c r="G10" s="218"/>
      <c r="H10" s="218">
        <v>11741</v>
      </c>
      <c r="I10" s="218"/>
      <c r="J10" s="218">
        <v>13845</v>
      </c>
      <c r="K10" s="218"/>
      <c r="L10" s="218">
        <v>190</v>
      </c>
      <c r="M10" s="218"/>
      <c r="N10" s="218">
        <v>88</v>
      </c>
      <c r="O10" s="218"/>
      <c r="P10" s="219">
        <v>195</v>
      </c>
      <c r="Q10" s="219"/>
      <c r="R10" s="231">
        <v>27404</v>
      </c>
      <c r="S10" s="138"/>
      <c r="T10" s="118"/>
      <c r="U10" s="118"/>
      <c r="V10" s="118"/>
      <c r="W10" s="118"/>
      <c r="X10" s="118"/>
    </row>
    <row r="11" spans="1:24">
      <c r="A11" s="138"/>
      <c r="B11" s="216" t="s">
        <v>18</v>
      </c>
      <c r="C11" s="220"/>
      <c r="D11" s="218">
        <v>248</v>
      </c>
      <c r="E11" s="218"/>
      <c r="F11" s="218">
        <v>1255</v>
      </c>
      <c r="G11" s="218"/>
      <c r="H11" s="218">
        <v>12053</v>
      </c>
      <c r="I11" s="218"/>
      <c r="J11" s="218">
        <v>12651</v>
      </c>
      <c r="K11" s="218"/>
      <c r="L11" s="218">
        <v>261</v>
      </c>
      <c r="M11" s="218"/>
      <c r="N11" s="218">
        <v>97</v>
      </c>
      <c r="O11" s="218"/>
      <c r="P11" s="219">
        <v>203</v>
      </c>
      <c r="Q11" s="219"/>
      <c r="R11" s="231">
        <v>26768</v>
      </c>
      <c r="S11" s="138"/>
      <c r="T11" s="118"/>
      <c r="U11" s="118"/>
      <c r="V11" s="118"/>
      <c r="W11" s="118"/>
      <c r="X11" s="118"/>
    </row>
    <row r="12" spans="1:24">
      <c r="A12" s="138"/>
      <c r="B12" s="216" t="s">
        <v>19</v>
      </c>
      <c r="C12" s="220"/>
      <c r="D12" s="218">
        <v>276</v>
      </c>
      <c r="E12" s="218"/>
      <c r="F12" s="218">
        <v>1663</v>
      </c>
      <c r="G12" s="218"/>
      <c r="H12" s="218">
        <v>13746</v>
      </c>
      <c r="I12" s="218"/>
      <c r="J12" s="218">
        <v>11184</v>
      </c>
      <c r="K12" s="218"/>
      <c r="L12" s="218">
        <v>324</v>
      </c>
      <c r="M12" s="218"/>
      <c r="N12" s="218">
        <v>129</v>
      </c>
      <c r="O12" s="218"/>
      <c r="P12" s="219">
        <v>186</v>
      </c>
      <c r="Q12" s="219"/>
      <c r="R12" s="231">
        <v>27508</v>
      </c>
      <c r="S12" s="138"/>
      <c r="T12" s="118"/>
      <c r="U12" s="118"/>
      <c r="V12" s="118"/>
      <c r="W12" s="118"/>
      <c r="X12" s="118"/>
    </row>
    <row r="13" spans="1:24" ht="16">
      <c r="A13" s="138"/>
      <c r="B13" s="216" t="s">
        <v>20</v>
      </c>
      <c r="C13" s="221"/>
      <c r="D13" s="218">
        <v>353</v>
      </c>
      <c r="E13" s="218"/>
      <c r="F13" s="218">
        <v>2186</v>
      </c>
      <c r="G13" s="218"/>
      <c r="H13" s="218">
        <v>16035</v>
      </c>
      <c r="I13" s="218"/>
      <c r="J13" s="218">
        <v>11528</v>
      </c>
      <c r="K13" s="218"/>
      <c r="L13" s="218">
        <v>336</v>
      </c>
      <c r="M13" s="218"/>
      <c r="N13" s="218">
        <v>122</v>
      </c>
      <c r="O13" s="218"/>
      <c r="P13" s="219">
        <v>212</v>
      </c>
      <c r="Q13" s="219"/>
      <c r="R13" s="231">
        <v>30772</v>
      </c>
      <c r="S13" s="138"/>
      <c r="T13" s="118"/>
      <c r="U13" s="118"/>
      <c r="V13" s="118"/>
      <c r="W13" s="118"/>
      <c r="X13" s="118"/>
    </row>
    <row r="14" spans="1:24" ht="16">
      <c r="A14" s="138"/>
      <c r="B14" s="216" t="s">
        <v>21</v>
      </c>
      <c r="C14" s="221"/>
      <c r="D14" s="222">
        <v>365</v>
      </c>
      <c r="E14" s="222"/>
      <c r="F14" s="222">
        <v>2769</v>
      </c>
      <c r="G14" s="222"/>
      <c r="H14" s="222">
        <v>18922</v>
      </c>
      <c r="I14" s="222"/>
      <c r="J14" s="222">
        <v>14250</v>
      </c>
      <c r="K14" s="222"/>
      <c r="L14" s="222">
        <v>432</v>
      </c>
      <c r="M14" s="222"/>
      <c r="N14" s="222">
        <v>184</v>
      </c>
      <c r="O14" s="222"/>
      <c r="P14" s="223">
        <v>214</v>
      </c>
      <c r="Q14" s="223"/>
      <c r="R14" s="232">
        <v>37136</v>
      </c>
      <c r="S14" s="138"/>
      <c r="T14" s="118"/>
      <c r="U14" s="118"/>
      <c r="V14" s="118"/>
      <c r="W14" s="118"/>
      <c r="X14" s="118"/>
    </row>
    <row r="15" spans="1:24" ht="16">
      <c r="A15" s="138"/>
      <c r="B15" s="258" t="s">
        <v>22</v>
      </c>
      <c r="C15" s="259"/>
      <c r="D15" s="260">
        <v>394</v>
      </c>
      <c r="E15" s="260"/>
      <c r="F15" s="260">
        <v>3192</v>
      </c>
      <c r="G15" s="260"/>
      <c r="H15" s="260">
        <v>21087</v>
      </c>
      <c r="I15" s="260"/>
      <c r="J15" s="260">
        <v>19033</v>
      </c>
      <c r="K15" s="260"/>
      <c r="L15" s="260">
        <v>477</v>
      </c>
      <c r="M15" s="260"/>
      <c r="N15" s="260">
        <v>171</v>
      </c>
      <c r="O15" s="260"/>
      <c r="P15" s="261">
        <v>281</v>
      </c>
      <c r="Q15" s="261"/>
      <c r="R15" s="262">
        <v>44635</v>
      </c>
      <c r="S15" s="138"/>
    </row>
    <row r="16" spans="1:24" ht="6" customHeight="1">
      <c r="A16" s="138"/>
      <c r="B16" s="216"/>
      <c r="C16" s="221"/>
      <c r="D16" s="222"/>
      <c r="E16" s="222"/>
      <c r="F16" s="222"/>
      <c r="G16" s="222"/>
      <c r="H16" s="222"/>
      <c r="I16" s="222"/>
      <c r="J16" s="222"/>
      <c r="K16" s="222"/>
      <c r="L16" s="222"/>
      <c r="M16" s="222"/>
      <c r="N16" s="222"/>
      <c r="O16" s="222"/>
      <c r="P16" s="223"/>
      <c r="Q16" s="223"/>
      <c r="R16" s="232"/>
      <c r="S16" s="138"/>
    </row>
    <row r="17" spans="1:19" ht="16">
      <c r="A17" s="138"/>
      <c r="B17" s="216" t="s">
        <v>23</v>
      </c>
      <c r="C17" s="221"/>
      <c r="D17" s="222">
        <v>439</v>
      </c>
      <c r="E17" s="222"/>
      <c r="F17" s="222">
        <v>3852</v>
      </c>
      <c r="G17" s="222"/>
      <c r="H17" s="222">
        <v>22484</v>
      </c>
      <c r="I17" s="222"/>
      <c r="J17" s="222">
        <v>21722</v>
      </c>
      <c r="K17" s="222"/>
      <c r="L17" s="222">
        <v>593</v>
      </c>
      <c r="M17" s="222"/>
      <c r="N17" s="222">
        <v>170</v>
      </c>
      <c r="O17" s="222"/>
      <c r="P17" s="223">
        <v>260</v>
      </c>
      <c r="Q17" s="223"/>
      <c r="R17" s="232">
        <v>49520</v>
      </c>
      <c r="S17" s="138"/>
    </row>
    <row r="18" spans="1:19" ht="16">
      <c r="A18" s="138"/>
      <c r="B18" s="216" t="s">
        <v>24</v>
      </c>
      <c r="C18" s="221"/>
      <c r="D18" s="222">
        <v>484</v>
      </c>
      <c r="E18" s="222"/>
      <c r="F18" s="222">
        <v>4497</v>
      </c>
      <c r="G18" s="222"/>
      <c r="H18" s="222">
        <v>22604</v>
      </c>
      <c r="I18" s="222"/>
      <c r="J18" s="222">
        <v>23202</v>
      </c>
      <c r="K18" s="222"/>
      <c r="L18" s="222">
        <v>601</v>
      </c>
      <c r="M18" s="222"/>
      <c r="N18" s="222">
        <v>238</v>
      </c>
      <c r="O18" s="222"/>
      <c r="P18" s="223">
        <v>250</v>
      </c>
      <c r="Q18" s="223"/>
      <c r="R18" s="232">
        <v>51876</v>
      </c>
      <c r="S18" s="138"/>
    </row>
    <row r="19" spans="1:19" ht="16">
      <c r="A19" s="138"/>
      <c r="B19" s="216" t="s">
        <v>25</v>
      </c>
      <c r="C19" s="221"/>
      <c r="D19" s="222">
        <v>472</v>
      </c>
      <c r="E19" s="222"/>
      <c r="F19" s="222">
        <v>4894</v>
      </c>
      <c r="G19" s="222"/>
      <c r="H19" s="222">
        <v>21731</v>
      </c>
      <c r="I19" s="222"/>
      <c r="J19" s="222">
        <v>16174</v>
      </c>
      <c r="K19" s="222"/>
      <c r="L19" s="222">
        <v>573</v>
      </c>
      <c r="M19" s="222"/>
      <c r="N19" s="222">
        <v>204</v>
      </c>
      <c r="O19" s="222"/>
      <c r="P19" s="223">
        <v>238</v>
      </c>
      <c r="Q19" s="223"/>
      <c r="R19" s="232">
        <v>44286</v>
      </c>
      <c r="S19" s="138"/>
    </row>
    <row r="20" spans="1:19" ht="16">
      <c r="A20" s="138"/>
      <c r="B20" s="216" t="s">
        <v>26</v>
      </c>
      <c r="C20" s="221"/>
      <c r="D20" s="222">
        <v>441</v>
      </c>
      <c r="E20" s="222">
        <v>0</v>
      </c>
      <c r="F20" s="222">
        <v>5883</v>
      </c>
      <c r="G20" s="222">
        <v>0</v>
      </c>
      <c r="H20" s="222">
        <v>24373</v>
      </c>
      <c r="I20" s="222">
        <v>0</v>
      </c>
      <c r="J20" s="222">
        <v>17037</v>
      </c>
      <c r="K20" s="222">
        <v>0</v>
      </c>
      <c r="L20" s="222">
        <v>706</v>
      </c>
      <c r="M20" s="222">
        <v>0</v>
      </c>
      <c r="N20" s="222">
        <v>305</v>
      </c>
      <c r="O20" s="222">
        <v>0</v>
      </c>
      <c r="P20" s="223">
        <v>282</v>
      </c>
      <c r="Q20" s="223">
        <v>0</v>
      </c>
      <c r="R20" s="232">
        <v>49027</v>
      </c>
      <c r="S20" s="138"/>
    </row>
    <row r="21" spans="1:19" ht="6" customHeight="1">
      <c r="A21" s="138"/>
      <c r="B21" s="216"/>
      <c r="C21" s="220"/>
      <c r="D21" s="224"/>
      <c r="E21" s="224"/>
      <c r="F21" s="224"/>
      <c r="G21" s="224"/>
      <c r="H21" s="224"/>
      <c r="I21" s="224"/>
      <c r="J21" s="224"/>
      <c r="K21" s="224"/>
      <c r="L21" s="224"/>
      <c r="M21" s="224"/>
      <c r="N21" s="224"/>
      <c r="O21" s="224"/>
      <c r="P21" s="225"/>
      <c r="Q21" s="225"/>
      <c r="R21" s="224"/>
      <c r="S21" s="138"/>
    </row>
    <row r="22" spans="1:19" ht="14.25" customHeight="1">
      <c r="A22" s="138"/>
      <c r="B22" s="235" t="s">
        <v>31</v>
      </c>
      <c r="C22" s="220"/>
      <c r="D22" s="224"/>
      <c r="E22" s="224"/>
      <c r="F22" s="224"/>
      <c r="G22" s="224"/>
      <c r="H22" s="224"/>
      <c r="I22" s="224"/>
      <c r="J22" s="224"/>
      <c r="K22" s="224"/>
      <c r="L22" s="224"/>
      <c r="M22" s="224"/>
      <c r="N22" s="224"/>
      <c r="O22" s="224"/>
      <c r="P22" s="225"/>
      <c r="Q22" s="225"/>
      <c r="R22" s="224"/>
      <c r="S22" s="138"/>
    </row>
    <row r="23" spans="1:19" ht="28.5" customHeight="1">
      <c r="A23" s="138"/>
      <c r="B23" s="226" t="s">
        <v>51</v>
      </c>
      <c r="C23" s="227"/>
      <c r="D23" s="228">
        <v>-6.5677966101694962E-2</v>
      </c>
      <c r="E23" s="228"/>
      <c r="F23" s="228">
        <v>0.20208418471597867</v>
      </c>
      <c r="G23" s="228"/>
      <c r="H23" s="228">
        <v>0.12157746997377017</v>
      </c>
      <c r="I23" s="228"/>
      <c r="J23" s="228">
        <v>5.3357240014838547E-2</v>
      </c>
      <c r="K23" s="228"/>
      <c r="L23" s="228">
        <v>0.23211169284467714</v>
      </c>
      <c r="M23" s="228"/>
      <c r="N23" s="228">
        <v>0.49509803921568629</v>
      </c>
      <c r="O23" s="228"/>
      <c r="P23" s="228">
        <v>0.18487394957983194</v>
      </c>
      <c r="Q23" s="228"/>
      <c r="R23" s="234">
        <v>0.1070541480377547</v>
      </c>
      <c r="S23" s="138"/>
    </row>
    <row r="24" spans="1:19" ht="28.5" customHeight="1">
      <c r="A24" s="138"/>
      <c r="B24" s="229" t="s">
        <v>52</v>
      </c>
      <c r="C24" s="230"/>
      <c r="D24" s="228">
        <f>(D20-D8)/D8</f>
        <v>0.83750000000000002</v>
      </c>
      <c r="E24" s="228"/>
      <c r="F24" s="228">
        <f>(F20-F8)/F8</f>
        <v>3.1197478991596639</v>
      </c>
      <c r="G24" s="228"/>
      <c r="H24" s="228">
        <f>(H20-H8)/H8</f>
        <v>0.66550498838321714</v>
      </c>
      <c r="I24" s="228"/>
      <c r="J24" s="228">
        <f>(J20-J8)/J8</f>
        <v>-2.8898768809849523E-2</v>
      </c>
      <c r="K24" s="228"/>
      <c r="L24" s="228">
        <f>(L20-L8)/L8</f>
        <v>1.7364341085271318</v>
      </c>
      <c r="M24" s="228"/>
      <c r="N24" s="228">
        <f>(N20-N8)/N8</f>
        <v>2.2795698924731185</v>
      </c>
      <c r="O24" s="228"/>
      <c r="P24" s="228">
        <f>(P20-P8)/P8</f>
        <v>0.189873417721519</v>
      </c>
      <c r="Q24" s="228"/>
      <c r="R24" s="415">
        <f>(R20-R8)/R8</f>
        <v>0.42379624789452286</v>
      </c>
      <c r="S24" s="138"/>
    </row>
    <row r="25" spans="1:19" ht="6" customHeight="1">
      <c r="A25" s="138"/>
      <c r="B25" s="199"/>
      <c r="C25" s="197"/>
      <c r="D25" s="200"/>
      <c r="E25" s="200"/>
      <c r="F25" s="200"/>
      <c r="G25" s="200"/>
      <c r="H25" s="200"/>
      <c r="I25" s="200"/>
      <c r="J25" s="200"/>
      <c r="K25" s="200"/>
      <c r="L25" s="200"/>
      <c r="M25" s="200"/>
      <c r="N25" s="200"/>
      <c r="O25" s="200"/>
      <c r="P25" s="201"/>
      <c r="Q25" s="201"/>
      <c r="R25" s="198"/>
      <c r="S25" s="138"/>
    </row>
    <row r="26" spans="1:19" ht="3.75" customHeight="1">
      <c r="A26" s="138"/>
      <c r="B26" s="202"/>
      <c r="C26" s="203"/>
      <c r="D26" s="204"/>
      <c r="E26" s="204"/>
      <c r="F26" s="204"/>
      <c r="G26" s="204"/>
      <c r="H26" s="204"/>
      <c r="I26" s="204"/>
      <c r="J26" s="204"/>
      <c r="K26" s="204"/>
      <c r="L26" s="204"/>
      <c r="M26" s="204"/>
      <c r="N26" s="204"/>
      <c r="O26" s="204"/>
      <c r="P26" s="204"/>
      <c r="Q26" s="204"/>
      <c r="R26" s="205"/>
      <c r="S26" s="138"/>
    </row>
    <row r="27" spans="1:19" ht="16.5" customHeight="1">
      <c r="A27" s="193"/>
      <c r="B27" s="717" t="s">
        <v>44</v>
      </c>
      <c r="C27" s="717"/>
      <c r="D27" s="717"/>
      <c r="E27" s="717"/>
      <c r="F27" s="717"/>
      <c r="G27" s="717"/>
      <c r="H27" s="717"/>
      <c r="I27" s="717"/>
      <c r="J27" s="717"/>
      <c r="K27" s="717"/>
      <c r="L27" s="717"/>
      <c r="M27" s="717"/>
      <c r="N27" s="717"/>
      <c r="O27" s="717"/>
      <c r="P27" s="717"/>
      <c r="Q27" s="717"/>
      <c r="R27" s="717"/>
      <c r="S27" s="193"/>
    </row>
    <row r="28" spans="1:19" ht="6" customHeight="1">
      <c r="A28" s="138"/>
      <c r="B28" s="206"/>
      <c r="C28" s="207"/>
      <c r="D28" s="207"/>
      <c r="E28" s="207"/>
      <c r="F28" s="207"/>
      <c r="G28" s="207"/>
      <c r="H28" s="207"/>
      <c r="I28" s="207"/>
      <c r="J28" s="207"/>
      <c r="K28" s="207"/>
      <c r="L28" s="207"/>
      <c r="M28" s="207"/>
      <c r="N28" s="207"/>
      <c r="O28" s="207"/>
      <c r="P28" s="207"/>
      <c r="Q28" s="207"/>
      <c r="R28" s="207"/>
      <c r="S28" s="138"/>
    </row>
    <row r="29" spans="1:19" ht="14.25" customHeight="1">
      <c r="A29" s="138"/>
      <c r="B29" s="216" t="s">
        <v>15</v>
      </c>
      <c r="C29" s="217"/>
      <c r="D29" s="241">
        <v>6.9698553755009581E-3</v>
      </c>
      <c r="E29" s="241"/>
      <c r="F29" s="241">
        <v>4.1470639484230701E-2</v>
      </c>
      <c r="G29" s="241"/>
      <c r="H29" s="241">
        <v>0.42498693152117095</v>
      </c>
      <c r="I29" s="241"/>
      <c r="J29" s="241">
        <v>0.50949642794912009</v>
      </c>
      <c r="K29" s="241"/>
      <c r="L29" s="241">
        <v>7.4925945286635305E-3</v>
      </c>
      <c r="M29" s="241"/>
      <c r="N29" s="241">
        <v>2.7008189580066213E-3</v>
      </c>
      <c r="O29" s="241"/>
      <c r="P29" s="241">
        <v>6.8827321833071966E-3</v>
      </c>
      <c r="Q29" s="208"/>
      <c r="R29" s="209"/>
      <c r="S29" s="138"/>
    </row>
    <row r="30" spans="1:19" ht="14.25" customHeight="1">
      <c r="A30" s="138"/>
      <c r="B30" s="216" t="s">
        <v>16</v>
      </c>
      <c r="C30" s="217"/>
      <c r="D30" s="241">
        <v>7.6163348710486392E-3</v>
      </c>
      <c r="E30" s="241"/>
      <c r="F30" s="241">
        <v>3.5450013932319883E-2</v>
      </c>
      <c r="G30" s="241"/>
      <c r="H30" s="241">
        <v>0.40806216910740273</v>
      </c>
      <c r="I30" s="241"/>
      <c r="J30" s="241">
        <v>0.53283383386482552</v>
      </c>
      <c r="K30" s="241"/>
      <c r="L30" s="241">
        <v>7.337688473327348E-3</v>
      </c>
      <c r="M30" s="241"/>
      <c r="N30" s="241">
        <v>2.2291711817703334E-3</v>
      </c>
      <c r="O30" s="241"/>
      <c r="P30" s="241">
        <v>6.4707885693055514E-3</v>
      </c>
      <c r="Q30" s="208"/>
      <c r="R30" s="209"/>
      <c r="S30" s="138"/>
    </row>
    <row r="31" spans="1:19" ht="14.25" customHeight="1">
      <c r="A31" s="138"/>
      <c r="B31" s="216" t="s">
        <v>17</v>
      </c>
      <c r="C31" s="217"/>
      <c r="D31" s="241">
        <v>7.2252225952415703E-3</v>
      </c>
      <c r="E31" s="241"/>
      <c r="F31" s="241">
        <v>4.1855203619909499E-2</v>
      </c>
      <c r="G31" s="241"/>
      <c r="H31" s="241">
        <v>0.42844110348854181</v>
      </c>
      <c r="I31" s="241"/>
      <c r="J31" s="241">
        <v>0.50521821631878561</v>
      </c>
      <c r="K31" s="241"/>
      <c r="L31" s="241">
        <v>6.9332944095752448E-3</v>
      </c>
      <c r="M31" s="241"/>
      <c r="N31" s="241">
        <v>3.2112100423295868E-3</v>
      </c>
      <c r="O31" s="241"/>
      <c r="P31" s="241">
        <v>7.1157495256166979E-3</v>
      </c>
      <c r="Q31" s="208"/>
      <c r="R31" s="209"/>
      <c r="S31" s="138"/>
    </row>
    <row r="32" spans="1:19" ht="14.25" customHeight="1">
      <c r="A32" s="138"/>
      <c r="B32" s="216" t="s">
        <v>18</v>
      </c>
      <c r="C32" s="220"/>
      <c r="D32" s="241">
        <v>9.2647937836222351E-3</v>
      </c>
      <c r="E32" s="241"/>
      <c r="F32" s="241">
        <v>4.6884339509862524E-2</v>
      </c>
      <c r="G32" s="241"/>
      <c r="H32" s="241">
        <v>0.45027644949193069</v>
      </c>
      <c r="I32" s="241"/>
      <c r="J32" s="241">
        <v>0.47261655708308425</v>
      </c>
      <c r="K32" s="241"/>
      <c r="L32" s="241">
        <v>9.7504482964734015E-3</v>
      </c>
      <c r="M32" s="241"/>
      <c r="N32" s="241">
        <v>3.6237298266586968E-3</v>
      </c>
      <c r="O32" s="241"/>
      <c r="P32" s="241">
        <v>7.5836820083682007E-3</v>
      </c>
      <c r="Q32" s="208"/>
      <c r="R32" s="209"/>
      <c r="S32" s="138"/>
    </row>
    <row r="33" spans="1:21" ht="14.25" customHeight="1">
      <c r="A33" s="138"/>
      <c r="B33" s="216" t="s">
        <v>19</v>
      </c>
      <c r="C33" s="220"/>
      <c r="D33" s="241">
        <v>1.0033444816053512E-2</v>
      </c>
      <c r="E33" s="241"/>
      <c r="F33" s="241">
        <v>6.0455140322815182E-2</v>
      </c>
      <c r="G33" s="241"/>
      <c r="H33" s="241">
        <v>0.49970917551257815</v>
      </c>
      <c r="I33" s="241"/>
      <c r="J33" s="241">
        <v>0.40657263341573363</v>
      </c>
      <c r="K33" s="241"/>
      <c r="L33" s="241">
        <v>1.1778391740584556E-2</v>
      </c>
      <c r="M33" s="241"/>
      <c r="N33" s="241">
        <v>4.6895448596771848E-3</v>
      </c>
      <c r="O33" s="241"/>
      <c r="P33" s="241">
        <v>6.7616693325578013E-3</v>
      </c>
      <c r="Q33" s="208"/>
      <c r="R33" s="209"/>
      <c r="S33" s="138"/>
    </row>
    <row r="34" spans="1:21" ht="14.25" customHeight="1">
      <c r="A34" s="138"/>
      <c r="B34" s="216" t="s">
        <v>20</v>
      </c>
      <c r="C34" s="221"/>
      <c r="D34" s="241">
        <v>1.1471467567918888E-2</v>
      </c>
      <c r="E34" s="241"/>
      <c r="F34" s="241">
        <v>7.1038606525412717E-2</v>
      </c>
      <c r="G34" s="241"/>
      <c r="H34" s="241">
        <v>0.52109060184583389</v>
      </c>
      <c r="I34" s="241"/>
      <c r="J34" s="241">
        <v>0.37462628363447292</v>
      </c>
      <c r="K34" s="241"/>
      <c r="L34" s="241">
        <v>1.0919017288444041E-2</v>
      </c>
      <c r="M34" s="241"/>
      <c r="N34" s="241">
        <v>3.9646431821136101E-3</v>
      </c>
      <c r="O34" s="241"/>
      <c r="P34" s="241">
        <v>6.8893799558039778E-3</v>
      </c>
      <c r="Q34" s="208"/>
      <c r="R34" s="209"/>
      <c r="S34" s="138"/>
    </row>
    <row r="35" spans="1:21" ht="14.25" customHeight="1">
      <c r="A35" s="138"/>
      <c r="B35" s="216" t="s">
        <v>21</v>
      </c>
      <c r="C35" s="221"/>
      <c r="D35" s="241">
        <v>9.8287376130978023E-3</v>
      </c>
      <c r="E35" s="241"/>
      <c r="F35" s="241">
        <v>7.4563765618267983E-2</v>
      </c>
      <c r="G35" s="241"/>
      <c r="H35" s="241">
        <v>0.50953252908229207</v>
      </c>
      <c r="I35" s="241"/>
      <c r="J35" s="241">
        <v>0.38372468763464024</v>
      </c>
      <c r="K35" s="241"/>
      <c r="L35" s="241">
        <v>1.1632916846186989E-2</v>
      </c>
      <c r="M35" s="241"/>
      <c r="N35" s="241">
        <v>4.9547608789314952E-3</v>
      </c>
      <c r="O35" s="241"/>
      <c r="P35" s="241">
        <v>5.7626023265833692E-3</v>
      </c>
      <c r="Q35" s="208"/>
      <c r="R35" s="209"/>
      <c r="S35" s="138"/>
    </row>
    <row r="36" spans="1:21" ht="14.25" customHeight="1">
      <c r="A36" s="138"/>
      <c r="B36" s="216" t="s">
        <v>22</v>
      </c>
      <c r="C36" s="221"/>
      <c r="D36" s="228">
        <v>8.8271535790299099E-3</v>
      </c>
      <c r="E36" s="228"/>
      <c r="F36" s="228">
        <v>7.1513386355998659E-2</v>
      </c>
      <c r="G36" s="228"/>
      <c r="H36" s="228">
        <v>0.47243194802285204</v>
      </c>
      <c r="I36" s="228"/>
      <c r="J36" s="228">
        <v>0.42641424890780777</v>
      </c>
      <c r="K36" s="228"/>
      <c r="L36" s="228">
        <v>1.0686680855830626E-2</v>
      </c>
      <c r="M36" s="228"/>
      <c r="N36" s="228">
        <v>3.8310742690713566E-3</v>
      </c>
      <c r="O36" s="228"/>
      <c r="P36" s="228">
        <v>6.2955080094096562E-3</v>
      </c>
      <c r="Q36" s="204"/>
      <c r="R36" s="210"/>
      <c r="S36" s="138"/>
    </row>
    <row r="37" spans="1:21" ht="14.25" customHeight="1">
      <c r="A37" s="138"/>
      <c r="B37" s="216" t="s">
        <v>23</v>
      </c>
      <c r="C37" s="221"/>
      <c r="D37" s="228">
        <v>8.8651050080775437E-3</v>
      </c>
      <c r="E37" s="228"/>
      <c r="F37" s="228">
        <v>7.7786752827140551E-2</v>
      </c>
      <c r="G37" s="228"/>
      <c r="H37" s="228">
        <v>0.45403877221324718</v>
      </c>
      <c r="I37" s="228"/>
      <c r="J37" s="228">
        <v>0.43865105008077543</v>
      </c>
      <c r="K37" s="228"/>
      <c r="L37" s="228">
        <v>1.1974959612277868E-2</v>
      </c>
      <c r="M37" s="228"/>
      <c r="N37" s="228">
        <v>3.4329563812600969E-3</v>
      </c>
      <c r="O37" s="228"/>
      <c r="P37" s="228">
        <v>5.2504038772213249E-3</v>
      </c>
      <c r="Q37" s="204">
        <v>0</v>
      </c>
      <c r="R37" s="204"/>
      <c r="S37" s="138"/>
    </row>
    <row r="38" spans="1:21" ht="14.25" customHeight="1">
      <c r="A38" s="138"/>
      <c r="B38" s="216" t="s">
        <v>24</v>
      </c>
      <c r="C38" s="221"/>
      <c r="D38" s="228">
        <v>9.3299406276505514E-3</v>
      </c>
      <c r="E38" s="228"/>
      <c r="F38" s="228">
        <v>8.6687485542447373E-2</v>
      </c>
      <c r="G38" s="228"/>
      <c r="H38" s="228">
        <v>0.43573135939548152</v>
      </c>
      <c r="I38" s="228"/>
      <c r="J38" s="228">
        <v>0.44725884802220678</v>
      </c>
      <c r="K38" s="228"/>
      <c r="L38" s="228">
        <v>1.1585318837227234E-2</v>
      </c>
      <c r="M38" s="228"/>
      <c r="N38" s="228">
        <v>4.5878633664893208E-3</v>
      </c>
      <c r="O38" s="228"/>
      <c r="P38" s="228">
        <v>4.8191842084971855E-3</v>
      </c>
      <c r="Q38" s="204"/>
      <c r="R38" s="204"/>
      <c r="S38" s="138"/>
    </row>
    <row r="39" spans="1:21" ht="14.25" customHeight="1">
      <c r="A39" s="138"/>
      <c r="B39" s="216" t="s">
        <v>25</v>
      </c>
      <c r="C39" s="221"/>
      <c r="D39" s="228">
        <v>1.0657995754866098E-2</v>
      </c>
      <c r="E39" s="228"/>
      <c r="F39" s="228">
        <v>0.11050896445829382</v>
      </c>
      <c r="G39" s="228"/>
      <c r="H39" s="228">
        <v>0.49069683421397281</v>
      </c>
      <c r="I39" s="228"/>
      <c r="J39" s="228">
        <v>0.36521699860000906</v>
      </c>
      <c r="K39" s="228"/>
      <c r="L39" s="228">
        <v>1.2938626202411598E-2</v>
      </c>
      <c r="M39" s="228"/>
      <c r="N39" s="228">
        <v>4.606421894052296E-3</v>
      </c>
      <c r="O39" s="228"/>
      <c r="P39" s="228">
        <v>5.3741588763943455E-3</v>
      </c>
      <c r="Q39" s="204"/>
      <c r="R39" s="204"/>
      <c r="S39" s="138"/>
    </row>
    <row r="40" spans="1:21" ht="14.25" customHeight="1">
      <c r="A40" s="138"/>
      <c r="B40" s="216" t="s">
        <v>26</v>
      </c>
      <c r="C40" s="221"/>
      <c r="D40" s="228">
        <v>8.9950435474330463E-3</v>
      </c>
      <c r="E40" s="228"/>
      <c r="F40" s="228">
        <v>0.11999510473820547</v>
      </c>
      <c r="G40" s="228"/>
      <c r="H40" s="228">
        <v>0.49713423215779062</v>
      </c>
      <c r="I40" s="228"/>
      <c r="J40" s="228">
        <v>0.3475023966385869</v>
      </c>
      <c r="K40" s="228"/>
      <c r="L40" s="228">
        <v>1.4400228445550412E-2</v>
      </c>
      <c r="M40" s="228"/>
      <c r="N40" s="228">
        <v>6.2210618638709279E-3</v>
      </c>
      <c r="O40" s="228"/>
      <c r="P40" s="228">
        <v>5.7519326085626286E-3</v>
      </c>
      <c r="Q40" s="204"/>
      <c r="R40" s="204"/>
      <c r="S40" s="138"/>
    </row>
    <row r="41" spans="1:21" ht="6" customHeight="1">
      <c r="A41" s="138"/>
      <c r="B41" s="263"/>
      <c r="C41" s="264"/>
      <c r="D41" s="265"/>
      <c r="E41" s="265"/>
      <c r="F41" s="265"/>
      <c r="G41" s="265"/>
      <c r="H41" s="265"/>
      <c r="I41" s="265"/>
      <c r="J41" s="265"/>
      <c r="K41" s="265"/>
      <c r="L41" s="265"/>
      <c r="M41" s="265"/>
      <c r="N41" s="265"/>
      <c r="O41" s="265"/>
      <c r="P41" s="265"/>
      <c r="Q41" s="266"/>
      <c r="R41" s="266"/>
      <c r="S41" s="138"/>
    </row>
    <row r="42" spans="1:21" s="118" customFormat="1" ht="6" customHeight="1">
      <c r="A42" s="138"/>
      <c r="B42" s="211"/>
      <c r="C42" s="212"/>
      <c r="D42" s="208"/>
      <c r="E42" s="208"/>
      <c r="F42" s="208"/>
      <c r="G42" s="208"/>
      <c r="H42" s="208"/>
      <c r="I42" s="208"/>
      <c r="J42" s="208"/>
      <c r="K42" s="208"/>
      <c r="L42" s="208"/>
      <c r="M42" s="208"/>
      <c r="N42" s="208"/>
      <c r="O42" s="208"/>
      <c r="P42" s="208"/>
      <c r="Q42" s="138"/>
      <c r="R42" s="83"/>
      <c r="S42" s="138"/>
    </row>
    <row r="43" spans="1:21" ht="16.5" customHeight="1">
      <c r="A43" s="138"/>
      <c r="B43" s="242" t="s">
        <v>34</v>
      </c>
      <c r="C43" s="243"/>
      <c r="D43" s="138"/>
      <c r="E43" s="138"/>
      <c r="F43" s="138"/>
      <c r="G43" s="138"/>
      <c r="H43" s="138"/>
      <c r="I43" s="138"/>
      <c r="J43" s="138"/>
      <c r="K43" s="138"/>
      <c r="L43" s="138"/>
      <c r="M43" s="138"/>
      <c r="N43" s="138"/>
      <c r="O43" s="138"/>
      <c r="P43" s="138"/>
      <c r="Q43" s="240"/>
      <c r="R43" s="244"/>
      <c r="S43" s="138"/>
      <c r="T43" s="118"/>
      <c r="U43" s="118"/>
    </row>
    <row r="44" spans="1:21" ht="28.5" customHeight="1">
      <c r="A44" s="138"/>
      <c r="B44" s="719" t="s">
        <v>45</v>
      </c>
      <c r="C44" s="719"/>
      <c r="D44" s="719"/>
      <c r="E44" s="719"/>
      <c r="F44" s="719"/>
      <c r="G44" s="719"/>
      <c r="H44" s="719"/>
      <c r="I44" s="719"/>
      <c r="J44" s="719"/>
      <c r="K44" s="719"/>
      <c r="L44" s="719"/>
      <c r="M44" s="719"/>
      <c r="N44" s="719"/>
      <c r="O44" s="719"/>
      <c r="P44" s="719"/>
      <c r="Q44" s="719"/>
      <c r="R44" s="719"/>
      <c r="S44" s="138"/>
      <c r="T44" s="118"/>
      <c r="U44" s="118"/>
    </row>
    <row r="45" spans="1:21" ht="98.25" customHeight="1">
      <c r="A45" s="138"/>
      <c r="B45" s="719" t="s">
        <v>46</v>
      </c>
      <c r="C45" s="719"/>
      <c r="D45" s="719"/>
      <c r="E45" s="719"/>
      <c r="F45" s="719"/>
      <c r="G45" s="719"/>
      <c r="H45" s="719"/>
      <c r="I45" s="719"/>
      <c r="J45" s="719"/>
      <c r="K45" s="719"/>
      <c r="L45" s="719"/>
      <c r="M45" s="719"/>
      <c r="N45" s="719"/>
      <c r="O45" s="719"/>
      <c r="P45" s="719"/>
      <c r="Q45" s="719"/>
      <c r="R45" s="719"/>
      <c r="S45" s="138"/>
      <c r="T45" s="118"/>
      <c r="U45" s="118"/>
    </row>
    <row r="46" spans="1:21" ht="6" customHeight="1">
      <c r="A46" s="138"/>
      <c r="B46" s="249"/>
      <c r="C46" s="249"/>
      <c r="D46" s="249"/>
      <c r="E46" s="249"/>
      <c r="F46" s="249"/>
      <c r="G46" s="249"/>
      <c r="H46" s="249"/>
      <c r="I46" s="249"/>
      <c r="J46" s="249"/>
      <c r="K46" s="249"/>
      <c r="L46" s="249"/>
      <c r="M46" s="249"/>
      <c r="N46" s="249"/>
      <c r="O46" s="249"/>
      <c r="P46" s="249"/>
      <c r="Q46" s="249"/>
      <c r="R46" s="249"/>
      <c r="S46" s="138"/>
      <c r="T46" s="118"/>
      <c r="U46" s="118"/>
    </row>
    <row r="47" spans="1:21" ht="16.5" customHeight="1">
      <c r="A47" s="138"/>
      <c r="B47" s="249" t="s">
        <v>36</v>
      </c>
      <c r="C47" s="249"/>
      <c r="D47" s="249"/>
      <c r="E47" s="249"/>
      <c r="F47" s="249"/>
      <c r="G47" s="249"/>
      <c r="H47" s="249"/>
      <c r="I47" s="249"/>
      <c r="J47" s="249"/>
      <c r="K47" s="249"/>
      <c r="L47" s="249"/>
      <c r="M47" s="249"/>
      <c r="N47" s="249"/>
      <c r="O47" s="249"/>
      <c r="P47" s="249"/>
      <c r="Q47" s="249"/>
      <c r="R47" s="249"/>
      <c r="S47" s="138"/>
      <c r="T47" s="118"/>
      <c r="U47" s="118"/>
    </row>
    <row r="48" spans="1:21">
      <c r="A48" s="250"/>
      <c r="B48" s="373" t="s">
        <v>47</v>
      </c>
      <c r="C48" s="251"/>
      <c r="D48" s="252"/>
      <c r="E48" s="252"/>
      <c r="F48" s="252"/>
      <c r="G48" s="252"/>
      <c r="H48" s="252"/>
      <c r="I48" s="252"/>
      <c r="J48" s="252"/>
      <c r="K48" s="252"/>
      <c r="L48" s="252"/>
      <c r="M48" s="252"/>
      <c r="N48" s="252"/>
      <c r="O48" s="252"/>
      <c r="P48" s="252"/>
      <c r="Q48" s="250"/>
      <c r="R48" s="253"/>
      <c r="S48" s="138"/>
      <c r="T48" s="118"/>
      <c r="U48" s="118"/>
    </row>
    <row r="49" spans="1:19" s="215" customFormat="1" ht="6" customHeight="1">
      <c r="A49" s="138"/>
      <c r="B49" s="374"/>
      <c r="C49" s="243"/>
      <c r="D49" s="138"/>
      <c r="E49" s="138"/>
      <c r="F49" s="138"/>
      <c r="G49" s="138"/>
      <c r="H49" s="138"/>
      <c r="I49" s="138"/>
      <c r="J49" s="138"/>
      <c r="K49" s="138"/>
      <c r="L49" s="138"/>
      <c r="M49" s="138"/>
      <c r="N49" s="138"/>
      <c r="O49" s="138"/>
      <c r="P49" s="138"/>
      <c r="Q49" s="138"/>
      <c r="R49" s="83"/>
      <c r="S49" s="138"/>
    </row>
    <row r="50" spans="1:19">
      <c r="B50" s="375"/>
    </row>
    <row r="51" spans="1:19" ht="14">
      <c r="B51" s="376"/>
      <c r="C51" s="30"/>
      <c r="D51" s="5"/>
      <c r="E51" s="5"/>
      <c r="F51" s="5"/>
      <c r="G51" s="5"/>
      <c r="H51" s="5"/>
      <c r="I51" s="5"/>
      <c r="J51" s="5"/>
      <c r="K51" s="5"/>
      <c r="L51" s="5"/>
      <c r="M51" s="5"/>
      <c r="N51" s="5"/>
      <c r="O51" s="5"/>
      <c r="P51" s="5"/>
    </row>
  </sheetData>
  <mergeCells count="3">
    <mergeCell ref="B27:R27"/>
    <mergeCell ref="B44:R44"/>
    <mergeCell ref="B45:R45"/>
  </mergeCells>
  <hyperlinks>
    <hyperlink ref="B48" r:id="rId1" xr:uid="{F96EC86C-157D-47E7-B033-E6489EAE284A}"/>
  </hyperlinks>
  <pageMargins left="0.7" right="0.7" top="0.75" bottom="0.75"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83075-C799-43AB-9171-8CA8A120FBB8}">
  <sheetPr>
    <tabColor theme="4"/>
    <pageSetUpPr autoPageBreaks="0"/>
  </sheetPr>
  <dimension ref="A1:BF36"/>
  <sheetViews>
    <sheetView showGridLines="0" zoomScaleNormal="100" workbookViewId="0">
      <selection activeCell="N40" sqref="N40"/>
    </sheetView>
  </sheetViews>
  <sheetFormatPr baseColWidth="10" defaultColWidth="9" defaultRowHeight="14.25" customHeight="1"/>
  <cols>
    <col min="1" max="1" width="1.5" style="456" customWidth="1"/>
    <col min="2" max="2" width="10.5" style="456" customWidth="1"/>
    <col min="3" max="3" width="1.5" style="459" customWidth="1"/>
    <col min="4" max="4" width="11.6640625" style="456" customWidth="1"/>
    <col min="5" max="5" width="1.5" style="456" customWidth="1"/>
    <col min="6" max="6" width="8.83203125" style="456" customWidth="1"/>
    <col min="7" max="7" width="1.5" style="456" customWidth="1"/>
    <col min="8" max="8" width="16.1640625" style="456" customWidth="1"/>
    <col min="9" max="9" width="1.5" style="456" customWidth="1"/>
    <col min="10" max="10" width="10.1640625" style="456" customWidth="1"/>
    <col min="11" max="11" width="1.5" style="456" customWidth="1"/>
    <col min="12" max="12" width="7.5" style="456" bestFit="1" customWidth="1"/>
    <col min="13" max="13" width="1.5" style="456" customWidth="1"/>
    <col min="14" max="14" width="9.6640625" style="456" customWidth="1"/>
    <col min="15" max="15" width="1.5" style="456" customWidth="1"/>
    <col min="16" max="16" width="9.5" style="456" customWidth="1"/>
    <col min="17" max="17" width="1.5" style="456" customWidth="1"/>
    <col min="18" max="18" width="14.33203125" style="460" customWidth="1"/>
    <col min="19" max="19" width="1.5" style="456" customWidth="1"/>
    <col min="20" max="21" width="0" style="456" hidden="1" customWidth="1"/>
    <col min="22" max="22" width="68.5" style="456" hidden="1" customWidth="1"/>
    <col min="23" max="24" width="0" style="456" hidden="1" customWidth="1"/>
    <col min="25" max="25" width="9.1640625" style="456" hidden="1" customWidth="1"/>
    <col min="26" max="26" width="0" style="456" hidden="1" customWidth="1"/>
    <col min="27" max="27" width="9.33203125" style="456" hidden="1" customWidth="1"/>
    <col min="28" max="28" width="0" style="456" hidden="1" customWidth="1"/>
    <col min="29" max="29" width="10.5" style="456" hidden="1" customWidth="1"/>
    <col min="30" max="30" width="0" style="456" hidden="1" customWidth="1"/>
    <col min="31" max="31" width="10.5" style="456" hidden="1" customWidth="1"/>
    <col min="32" max="32" width="13.5" style="456" hidden="1" customWidth="1"/>
    <col min="33" max="33" width="9.1640625" style="456" hidden="1" customWidth="1"/>
    <col min="34" max="34" width="0" style="456" hidden="1" customWidth="1"/>
    <col min="35" max="35" width="9.1640625" style="456" hidden="1" customWidth="1"/>
    <col min="36" max="36" width="0" style="456" hidden="1" customWidth="1"/>
    <col min="37" max="37" width="9.1640625" style="456" hidden="1" customWidth="1"/>
    <col min="38" max="49" width="0" style="456" hidden="1" customWidth="1"/>
    <col min="50" max="16384" width="9" style="456"/>
  </cols>
  <sheetData>
    <row r="1" spans="1:58" ht="6" customHeight="1">
      <c r="A1" s="454"/>
      <c r="B1" s="454"/>
      <c r="C1" s="455"/>
      <c r="D1" s="454"/>
      <c r="E1" s="454"/>
      <c r="F1" s="454"/>
      <c r="G1" s="454"/>
      <c r="H1" s="454"/>
      <c r="I1" s="454"/>
      <c r="J1" s="454"/>
      <c r="K1" s="454"/>
      <c r="L1" s="454"/>
      <c r="M1" s="454"/>
      <c r="N1" s="454"/>
      <c r="O1" s="454"/>
      <c r="P1" s="454"/>
      <c r="Q1" s="454"/>
      <c r="R1" s="691"/>
      <c r="S1" s="454"/>
    </row>
    <row r="2" spans="1:58" ht="19.5" customHeight="1">
      <c r="A2" s="454"/>
      <c r="B2" s="713" t="s">
        <v>5</v>
      </c>
      <c r="C2" s="457"/>
      <c r="D2" s="458"/>
      <c r="E2" s="458"/>
      <c r="F2" s="458"/>
      <c r="G2" s="458"/>
      <c r="H2" s="458"/>
      <c r="I2" s="458"/>
      <c r="J2" s="458"/>
      <c r="K2" s="458"/>
      <c r="L2" s="458"/>
      <c r="M2" s="458"/>
      <c r="N2" s="458"/>
      <c r="O2" s="458"/>
      <c r="P2" s="458"/>
      <c r="Q2" s="458"/>
      <c r="R2" s="692"/>
      <c r="S2" s="454"/>
      <c r="T2" s="459"/>
      <c r="U2" s="459"/>
      <c r="AH2" s="460"/>
      <c r="AI2" s="460"/>
      <c r="AL2" s="460"/>
    </row>
    <row r="3" spans="1:58" ht="15" customHeight="1">
      <c r="A3" s="454"/>
      <c r="B3" s="716" t="s">
        <v>407</v>
      </c>
      <c r="C3" s="716"/>
      <c r="D3" s="716"/>
      <c r="E3" s="716"/>
      <c r="F3" s="716"/>
      <c r="G3" s="716"/>
      <c r="H3" s="716"/>
      <c r="I3" s="716"/>
      <c r="J3" s="716"/>
      <c r="K3" s="716"/>
      <c r="L3" s="716"/>
      <c r="M3" s="716"/>
      <c r="N3" s="716"/>
      <c r="O3" s="716"/>
      <c r="P3" s="716"/>
      <c r="Q3" s="716"/>
      <c r="R3" s="693"/>
      <c r="S3" s="454"/>
      <c r="T3" s="459"/>
      <c r="U3" s="459"/>
      <c r="AH3" s="460"/>
      <c r="AI3" s="460"/>
      <c r="AL3" s="460"/>
    </row>
    <row r="4" spans="1:58" s="469" customFormat="1" ht="63.75" customHeight="1">
      <c r="A4" s="316"/>
      <c r="B4" s="461" t="s">
        <v>6</v>
      </c>
      <c r="C4" s="462"/>
      <c r="D4" s="463" t="s">
        <v>7</v>
      </c>
      <c r="E4" s="463"/>
      <c r="F4" s="463" t="s">
        <v>8</v>
      </c>
      <c r="G4" s="463"/>
      <c r="H4" s="464" t="s">
        <v>415</v>
      </c>
      <c r="I4" s="463"/>
      <c r="J4" s="463" t="s">
        <v>9</v>
      </c>
      <c r="K4" s="463"/>
      <c r="L4" s="463" t="s">
        <v>10</v>
      </c>
      <c r="M4" s="463"/>
      <c r="N4" s="463" t="s">
        <v>11</v>
      </c>
      <c r="O4" s="463"/>
      <c r="P4" s="463" t="s">
        <v>12</v>
      </c>
      <c r="Q4" s="463"/>
      <c r="R4" s="465" t="s">
        <v>13</v>
      </c>
      <c r="S4" s="316"/>
      <c r="T4" s="466"/>
      <c r="U4" s="466"/>
      <c r="V4" s="467"/>
      <c r="W4" s="467"/>
      <c r="X4" s="467"/>
      <c r="Y4" s="467"/>
      <c r="Z4" s="467"/>
      <c r="AA4" s="467"/>
      <c r="AB4" s="467"/>
      <c r="AC4" s="467"/>
      <c r="AD4" s="467"/>
      <c r="AE4" s="467"/>
      <c r="AF4" s="467"/>
      <c r="AG4" s="467"/>
      <c r="AH4" s="468"/>
      <c r="AI4" s="468"/>
      <c r="AJ4" s="467"/>
      <c r="AK4" s="467"/>
      <c r="AL4" s="468"/>
    </row>
    <row r="5" spans="1:58" s="469" customFormat="1" ht="6" customHeight="1">
      <c r="A5" s="316"/>
      <c r="B5" s="470"/>
      <c r="C5" s="471"/>
      <c r="D5" s="472"/>
      <c r="E5" s="472"/>
      <c r="F5" s="472"/>
      <c r="G5" s="472"/>
      <c r="H5" s="473"/>
      <c r="I5" s="472"/>
      <c r="J5" s="472"/>
      <c r="K5" s="472"/>
      <c r="L5" s="472"/>
      <c r="M5" s="472"/>
      <c r="N5" s="472"/>
      <c r="O5" s="472"/>
      <c r="P5" s="472"/>
      <c r="Q5" s="472"/>
      <c r="R5" s="474"/>
      <c r="S5" s="316"/>
      <c r="T5" s="466"/>
      <c r="U5" s="466"/>
      <c r="V5" s="467"/>
      <c r="W5" s="467"/>
      <c r="X5" s="467"/>
      <c r="Y5" s="467"/>
      <c r="Z5" s="467"/>
      <c r="AA5" s="467"/>
      <c r="AB5" s="467"/>
      <c r="AC5" s="467"/>
      <c r="AD5" s="467"/>
      <c r="AE5" s="467"/>
      <c r="AF5" s="467"/>
      <c r="AG5" s="467"/>
      <c r="AH5" s="468"/>
      <c r="AI5" s="468"/>
      <c r="AJ5" s="467"/>
      <c r="AK5" s="467"/>
      <c r="AL5" s="468"/>
    </row>
    <row r="6" spans="1:58" ht="14.25" customHeight="1">
      <c r="A6" s="179"/>
      <c r="B6" s="475" t="s">
        <v>14</v>
      </c>
      <c r="C6" s="476"/>
      <c r="D6" s="477"/>
      <c r="E6" s="477"/>
      <c r="F6" s="477"/>
      <c r="G6" s="477"/>
      <c r="H6" s="477"/>
      <c r="I6" s="477"/>
      <c r="J6" s="477"/>
      <c r="K6" s="477"/>
      <c r="L6" s="477"/>
      <c r="M6" s="477"/>
      <c r="N6" s="477"/>
      <c r="O6" s="477"/>
      <c r="P6" s="477"/>
      <c r="Q6" s="477"/>
      <c r="R6" s="478"/>
      <c r="S6" s="479"/>
      <c r="T6" s="480"/>
      <c r="U6" s="480"/>
      <c r="V6" s="480"/>
      <c r="W6" s="480"/>
      <c r="X6" s="480"/>
      <c r="Y6" s="480"/>
      <c r="Z6" s="480"/>
      <c r="AA6" s="481"/>
      <c r="AB6" s="482"/>
      <c r="AC6" s="482"/>
      <c r="AD6" s="482"/>
      <c r="AE6" s="482"/>
      <c r="AF6" s="482"/>
      <c r="AG6" s="482"/>
      <c r="AH6" s="482"/>
      <c r="AI6" s="482"/>
      <c r="AJ6" s="482"/>
      <c r="AK6" s="482"/>
      <c r="AL6" s="482"/>
    </row>
    <row r="7" spans="1:58" ht="14.25" customHeight="1">
      <c r="A7" s="179"/>
      <c r="B7" s="697" t="s">
        <v>24</v>
      </c>
      <c r="C7" s="698"/>
      <c r="D7" s="699">
        <v>494</v>
      </c>
      <c r="E7" s="700"/>
      <c r="F7" s="699">
        <v>4935</v>
      </c>
      <c r="G7" s="700"/>
      <c r="H7" s="699">
        <v>24088</v>
      </c>
      <c r="I7" s="700"/>
      <c r="J7" s="699">
        <v>24419</v>
      </c>
      <c r="K7" s="700"/>
      <c r="L7" s="699">
        <v>684</v>
      </c>
      <c r="M7" s="700"/>
      <c r="N7" s="699">
        <v>285</v>
      </c>
      <c r="O7" s="700"/>
      <c r="P7" s="699">
        <v>265</v>
      </c>
      <c r="Q7" s="701"/>
      <c r="R7" s="702">
        <v>55170</v>
      </c>
      <c r="S7" s="488"/>
      <c r="T7" s="489"/>
      <c r="U7" s="490"/>
      <c r="V7" s="482"/>
      <c r="W7" s="482"/>
      <c r="X7" s="482"/>
      <c r="Y7" s="482"/>
      <c r="Z7" s="482"/>
      <c r="AA7" s="482"/>
      <c r="AB7" s="482"/>
      <c r="AC7" s="482"/>
      <c r="AD7" s="482"/>
      <c r="AE7" s="482"/>
      <c r="AF7" s="482"/>
      <c r="AG7" s="482"/>
      <c r="AH7" s="482"/>
      <c r="AI7" s="482"/>
      <c r="AJ7" s="482"/>
      <c r="AK7" s="482"/>
      <c r="AL7" s="482"/>
      <c r="AZ7"/>
      <c r="BA7"/>
      <c r="BB7"/>
      <c r="BC7"/>
      <c r="BD7"/>
      <c r="BE7"/>
      <c r="BF7"/>
    </row>
    <row r="8" spans="1:58" ht="14.25" customHeight="1">
      <c r="A8" s="179"/>
      <c r="B8" s="703" t="s">
        <v>25</v>
      </c>
      <c r="C8" s="704"/>
      <c r="D8" s="705">
        <v>482</v>
      </c>
      <c r="E8" s="706"/>
      <c r="F8" s="705">
        <v>5046</v>
      </c>
      <c r="G8" s="706"/>
      <c r="H8" s="705">
        <v>21971</v>
      </c>
      <c r="I8" s="706"/>
      <c r="J8" s="705">
        <v>16188</v>
      </c>
      <c r="K8" s="706"/>
      <c r="L8" s="705">
        <v>585</v>
      </c>
      <c r="M8" s="706"/>
      <c r="N8" s="705">
        <v>220</v>
      </c>
      <c r="O8" s="706"/>
      <c r="P8" s="705">
        <v>235</v>
      </c>
      <c r="Q8" s="707"/>
      <c r="R8" s="708">
        <v>44727</v>
      </c>
      <c r="S8" s="488"/>
      <c r="T8" s="489"/>
      <c r="U8" s="490"/>
      <c r="V8" s="482"/>
      <c r="W8" s="482"/>
      <c r="X8" s="482"/>
      <c r="Y8" s="482"/>
      <c r="Z8" s="482"/>
      <c r="AA8" s="482"/>
      <c r="AB8" s="482"/>
      <c r="AC8" s="482"/>
      <c r="AD8" s="482"/>
      <c r="AE8" s="482"/>
      <c r="AF8" s="482"/>
      <c r="AG8" s="482"/>
      <c r="AH8" s="482"/>
      <c r="AI8" s="482"/>
      <c r="AJ8" s="482"/>
      <c r="AK8" s="482"/>
      <c r="AL8" s="482"/>
      <c r="AZ8"/>
      <c r="BA8"/>
      <c r="BB8"/>
      <c r="BC8"/>
      <c r="BD8"/>
      <c r="BE8"/>
      <c r="BF8"/>
    </row>
    <row r="9" spans="1:58" ht="13.5" customHeight="1">
      <c r="A9" s="179"/>
      <c r="B9" s="703" t="s">
        <v>26</v>
      </c>
      <c r="C9" s="704"/>
      <c r="D9" s="705">
        <v>444</v>
      </c>
      <c r="E9" s="706"/>
      <c r="F9" s="705">
        <v>5929</v>
      </c>
      <c r="G9" s="706"/>
      <c r="H9" s="705">
        <v>24313</v>
      </c>
      <c r="I9" s="706"/>
      <c r="J9" s="705">
        <v>17098</v>
      </c>
      <c r="K9" s="706"/>
      <c r="L9" s="705">
        <v>725</v>
      </c>
      <c r="M9" s="706"/>
      <c r="N9" s="705">
        <v>401</v>
      </c>
      <c r="O9" s="706"/>
      <c r="P9" s="705">
        <v>280</v>
      </c>
      <c r="Q9" s="707"/>
      <c r="R9" s="708">
        <v>49190</v>
      </c>
      <c r="S9" s="488"/>
      <c r="T9" s="489"/>
      <c r="U9" s="490"/>
      <c r="V9" s="482"/>
      <c r="W9" s="482"/>
      <c r="X9" s="482"/>
      <c r="Y9" s="482"/>
      <c r="Z9" s="482"/>
      <c r="AA9" s="482"/>
      <c r="AB9" s="482"/>
      <c r="AC9" s="482"/>
      <c r="AD9" s="482"/>
      <c r="AE9" s="482"/>
      <c r="AF9" s="482"/>
      <c r="AG9" s="482"/>
      <c r="AH9" s="482"/>
      <c r="AI9" s="482"/>
      <c r="AJ9" s="482"/>
      <c r="AK9" s="482"/>
      <c r="AL9" s="482"/>
      <c r="AZ9"/>
      <c r="BA9"/>
      <c r="BB9"/>
      <c r="BC9"/>
      <c r="BD9"/>
      <c r="BE9"/>
      <c r="BF9"/>
    </row>
    <row r="10" spans="1:58" ht="13.5" customHeight="1">
      <c r="A10" s="179"/>
      <c r="B10" s="703" t="s">
        <v>27</v>
      </c>
      <c r="C10" s="704"/>
      <c r="D10" s="705">
        <v>443</v>
      </c>
      <c r="E10" s="706"/>
      <c r="F10" s="705">
        <v>6127</v>
      </c>
      <c r="G10" s="706"/>
      <c r="H10" s="705">
        <v>23671</v>
      </c>
      <c r="I10" s="706"/>
      <c r="J10" s="705">
        <v>20193</v>
      </c>
      <c r="K10" s="706"/>
      <c r="L10" s="705">
        <v>749</v>
      </c>
      <c r="M10" s="706"/>
      <c r="N10" s="705">
        <v>315</v>
      </c>
      <c r="O10" s="706"/>
      <c r="P10" s="705">
        <v>244</v>
      </c>
      <c r="Q10" s="707"/>
      <c r="R10" s="709">
        <v>51742</v>
      </c>
      <c r="S10" s="488"/>
      <c r="T10" s="491">
        <f>R10/R7-1</f>
        <v>-6.2135218415805715E-2</v>
      </c>
      <c r="U10" s="490" t="s">
        <v>29</v>
      </c>
      <c r="V10" s="482"/>
      <c r="W10" s="482"/>
      <c r="X10" s="482"/>
      <c r="Y10" s="482"/>
      <c r="Z10" s="482"/>
      <c r="AA10" s="482"/>
      <c r="AB10" s="482"/>
      <c r="AC10" s="482"/>
      <c r="AD10" s="482"/>
      <c r="AE10" s="482"/>
      <c r="AF10" s="482"/>
      <c r="AG10" s="482"/>
      <c r="AH10" s="482"/>
      <c r="AI10" s="482"/>
      <c r="AJ10" s="482"/>
      <c r="AK10" s="482"/>
      <c r="AL10" s="482"/>
      <c r="AZ10"/>
      <c r="BA10"/>
      <c r="BB10"/>
      <c r="BC10"/>
      <c r="BD10"/>
      <c r="BE10"/>
      <c r="BF10"/>
    </row>
    <row r="11" spans="1:58" ht="13.5" customHeight="1">
      <c r="A11" s="179"/>
      <c r="B11" s="703" t="s">
        <v>30</v>
      </c>
      <c r="C11" s="704"/>
      <c r="D11" s="705">
        <v>432</v>
      </c>
      <c r="E11" s="706"/>
      <c r="F11" s="705">
        <v>5690</v>
      </c>
      <c r="G11" s="706"/>
      <c r="H11" s="705">
        <v>23709</v>
      </c>
      <c r="I11" s="706"/>
      <c r="J11" s="705">
        <v>22454</v>
      </c>
      <c r="K11" s="706"/>
      <c r="L11" s="705">
        <v>796</v>
      </c>
      <c r="M11" s="706"/>
      <c r="N11" s="705">
        <v>339</v>
      </c>
      <c r="O11" s="706"/>
      <c r="P11" s="705">
        <v>265</v>
      </c>
      <c r="Q11" s="707"/>
      <c r="R11" s="709">
        <v>53685</v>
      </c>
      <c r="S11" s="488"/>
      <c r="T11" s="491"/>
      <c r="U11" s="490"/>
      <c r="V11" s="482"/>
      <c r="W11" s="482"/>
      <c r="X11" s="482"/>
      <c r="Y11" s="482"/>
      <c r="Z11" s="482"/>
      <c r="AA11" s="482"/>
      <c r="AB11" s="482"/>
      <c r="AC11" s="482"/>
      <c r="AD11" s="482"/>
      <c r="AE11" s="482"/>
      <c r="AF11" s="482"/>
      <c r="AG11" s="482"/>
      <c r="AH11" s="482"/>
      <c r="AI11" s="482"/>
      <c r="AJ11" s="482"/>
      <c r="AK11" s="482"/>
      <c r="AL11" s="482"/>
      <c r="AZ11"/>
      <c r="BA11"/>
      <c r="BB11"/>
      <c r="BC11"/>
      <c r="BD11"/>
      <c r="BE11"/>
      <c r="BF11"/>
    </row>
    <row r="12" spans="1:58" ht="13.5" customHeight="1">
      <c r="A12" s="179"/>
      <c r="B12" s="703" t="s">
        <v>395</v>
      </c>
      <c r="C12" s="704"/>
      <c r="D12" s="705">
        <v>452</v>
      </c>
      <c r="E12" s="706"/>
      <c r="F12" s="705">
        <v>6060</v>
      </c>
      <c r="G12" s="706"/>
      <c r="H12" s="705">
        <v>22749</v>
      </c>
      <c r="I12" s="706"/>
      <c r="J12" s="705">
        <v>22226</v>
      </c>
      <c r="K12" s="706"/>
      <c r="L12" s="705">
        <v>982</v>
      </c>
      <c r="M12" s="706"/>
      <c r="N12" s="705">
        <v>374</v>
      </c>
      <c r="O12" s="706"/>
      <c r="P12" s="705">
        <v>204</v>
      </c>
      <c r="Q12" s="707"/>
      <c r="R12" s="709">
        <v>53047</v>
      </c>
      <c r="S12" s="488"/>
      <c r="T12" s="491"/>
      <c r="U12" s="490"/>
      <c r="V12" s="482"/>
      <c r="W12" s="482"/>
      <c r="X12" s="482"/>
      <c r="Y12" s="482"/>
      <c r="Z12" s="482"/>
      <c r="AA12" s="482"/>
      <c r="AB12" s="482"/>
      <c r="AC12" s="482"/>
      <c r="AD12" s="482"/>
      <c r="AE12" s="482"/>
      <c r="AF12" s="482"/>
      <c r="AG12" s="482"/>
      <c r="AH12" s="482"/>
      <c r="AI12" s="482"/>
      <c r="AJ12" s="482"/>
      <c r="AK12" s="482"/>
      <c r="AL12" s="482"/>
      <c r="AY12" s="711"/>
      <c r="AZ12"/>
      <c r="BA12"/>
      <c r="BB12"/>
      <c r="BC12"/>
      <c r="BD12"/>
      <c r="BE12"/>
      <c r="BF12"/>
    </row>
    <row r="13" spans="1:58" ht="6" customHeight="1">
      <c r="A13" s="179"/>
      <c r="B13" s="408"/>
      <c r="C13" s="485"/>
      <c r="D13" s="492"/>
      <c r="E13" s="486"/>
      <c r="F13" s="492"/>
      <c r="G13" s="486"/>
      <c r="H13" s="492"/>
      <c r="I13" s="486"/>
      <c r="J13" s="492"/>
      <c r="K13" s="486"/>
      <c r="L13" s="492"/>
      <c r="M13" s="486"/>
      <c r="N13" s="492"/>
      <c r="O13" s="486"/>
      <c r="P13" s="493"/>
      <c r="Q13" s="487"/>
      <c r="R13" s="494"/>
      <c r="S13" s="488"/>
      <c r="T13" s="489"/>
      <c r="U13" s="490"/>
      <c r="V13" s="482"/>
      <c r="W13" s="482"/>
      <c r="X13" s="482"/>
      <c r="Y13" s="482"/>
      <c r="Z13" s="482"/>
      <c r="AA13" s="482"/>
      <c r="AB13" s="482"/>
      <c r="AC13" s="482"/>
      <c r="AD13" s="482"/>
      <c r="AE13" s="482"/>
      <c r="AF13" s="482"/>
      <c r="AG13" s="482"/>
      <c r="AH13" s="482"/>
      <c r="AI13" s="482"/>
      <c r="AJ13" s="482"/>
      <c r="AK13" s="482"/>
      <c r="AL13" s="482"/>
    </row>
    <row r="14" spans="1:58" ht="14.25" customHeight="1">
      <c r="A14" s="179"/>
      <c r="B14" s="475" t="s">
        <v>31</v>
      </c>
      <c r="C14" s="476"/>
      <c r="D14" s="477"/>
      <c r="E14" s="477"/>
      <c r="F14" s="477"/>
      <c r="G14" s="477"/>
      <c r="H14" s="477"/>
      <c r="I14" s="477"/>
      <c r="J14" s="477"/>
      <c r="K14" s="477"/>
      <c r="L14" s="477"/>
      <c r="M14" s="477"/>
      <c r="N14" s="477"/>
      <c r="O14" s="477"/>
      <c r="P14" s="483"/>
      <c r="Q14" s="483"/>
      <c r="R14" s="478"/>
      <c r="S14" s="179"/>
      <c r="T14" s="484"/>
      <c r="U14" s="30"/>
      <c r="V14" s="482"/>
      <c r="W14" s="482"/>
      <c r="X14" s="482"/>
      <c r="AA14" s="482"/>
      <c r="AB14" s="482"/>
      <c r="AC14" s="482"/>
      <c r="AH14" s="482"/>
      <c r="AL14" s="482"/>
    </row>
    <row r="15" spans="1:58" ht="32.25" customHeight="1">
      <c r="A15" s="179"/>
      <c r="B15" s="470" t="s">
        <v>396</v>
      </c>
      <c r="C15" s="471"/>
      <c r="D15" s="495">
        <f>D12/D11-1</f>
        <v>4.629629629629628E-2</v>
      </c>
      <c r="E15" s="495"/>
      <c r="F15" s="495">
        <f>F12/F11-1</f>
        <v>6.5026362038664409E-2</v>
      </c>
      <c r="G15" s="495"/>
      <c r="H15" s="495">
        <f>H12/H11-1</f>
        <v>-4.0490952802733182E-2</v>
      </c>
      <c r="I15" s="495"/>
      <c r="J15" s="495">
        <f>J12/J11-1</f>
        <v>-1.0154092811971105E-2</v>
      </c>
      <c r="K15" s="495"/>
      <c r="L15" s="495">
        <f>L12/L11-1</f>
        <v>0.23366834170854278</v>
      </c>
      <c r="M15" s="495"/>
      <c r="N15" s="495">
        <f>N12/N11-1</f>
        <v>0.10324483775811211</v>
      </c>
      <c r="O15" s="495"/>
      <c r="P15" s="495">
        <f>P12/P11-1</f>
        <v>-0.23018867924528297</v>
      </c>
      <c r="Q15" s="495"/>
      <c r="R15" s="496">
        <f>R12/R11-1</f>
        <v>-1.1884138958740853E-2</v>
      </c>
      <c r="S15" s="179"/>
      <c r="T15" s="467"/>
      <c r="U15" s="497"/>
      <c r="V15" s="498"/>
      <c r="W15" s="498"/>
      <c r="X15" s="498"/>
      <c r="Y15" s="498"/>
      <c r="Z15" s="498"/>
      <c r="AA15" s="498"/>
      <c r="AB15" s="498"/>
      <c r="AC15" s="498"/>
      <c r="AD15" s="498"/>
      <c r="AE15" s="498"/>
      <c r="AF15" s="498"/>
      <c r="AG15" s="498"/>
      <c r="AH15" s="498"/>
      <c r="AI15" s="498"/>
      <c r="AJ15" s="498"/>
      <c r="AK15" s="498"/>
      <c r="AL15" s="498"/>
    </row>
    <row r="16" spans="1:58" ht="30" hidden="1" customHeight="1">
      <c r="A16" s="179"/>
      <c r="B16" s="499" t="s">
        <v>32</v>
      </c>
      <c r="C16" s="500"/>
      <c r="D16" s="495" t="e">
        <f>D10/#REF!-1</f>
        <v>#REF!</v>
      </c>
      <c r="E16" s="495"/>
      <c r="F16" s="495" t="e">
        <f>F10/#REF!-1</f>
        <v>#REF!</v>
      </c>
      <c r="G16" s="495"/>
      <c r="H16" s="495" t="e">
        <f>H10/#REF!-1</f>
        <v>#REF!</v>
      </c>
      <c r="I16" s="495"/>
      <c r="J16" s="495" t="e">
        <f>J10/#REF!-1</f>
        <v>#REF!</v>
      </c>
      <c r="K16" s="495"/>
      <c r="L16" s="495" t="e">
        <f>L10/#REF!-1</f>
        <v>#REF!</v>
      </c>
      <c r="M16" s="495" t="e">
        <f>M9/#REF!-1</f>
        <v>#REF!</v>
      </c>
      <c r="N16" s="495" t="e">
        <f>N10/#REF!-1</f>
        <v>#REF!</v>
      </c>
      <c r="O16" s="495" t="e">
        <f>O9/#REF!-1</f>
        <v>#REF!</v>
      </c>
      <c r="P16" s="495" t="e">
        <f>P10/#REF!-1</f>
        <v>#REF!</v>
      </c>
      <c r="Q16" s="495" t="e">
        <f>Q9/#REF!-1</f>
        <v>#REF!</v>
      </c>
      <c r="R16" s="496"/>
      <c r="S16" s="501"/>
      <c r="T16" s="484"/>
      <c r="U16" s="30"/>
      <c r="V16" s="502"/>
      <c r="W16" s="502"/>
      <c r="X16" s="502"/>
      <c r="Y16" s="502"/>
      <c r="Z16" s="502"/>
      <c r="AA16" s="502"/>
      <c r="AC16" s="503"/>
      <c r="AD16" s="502"/>
      <c r="AF16" s="502"/>
      <c r="AG16" s="502"/>
      <c r="AH16" s="504"/>
      <c r="AI16" s="504"/>
      <c r="AJ16" s="505"/>
      <c r="AK16" s="505"/>
      <c r="AL16" s="504"/>
    </row>
    <row r="17" spans="1:38" ht="6" customHeight="1">
      <c r="A17" s="179"/>
      <c r="B17" s="470"/>
      <c r="C17" s="471"/>
      <c r="D17" s="495"/>
      <c r="E17" s="495"/>
      <c r="F17" s="495"/>
      <c r="G17" s="495"/>
      <c r="H17" s="495"/>
      <c r="I17" s="495"/>
      <c r="J17" s="495"/>
      <c r="K17" s="495"/>
      <c r="L17" s="495"/>
      <c r="M17" s="495"/>
      <c r="N17" s="495"/>
      <c r="O17" s="495"/>
      <c r="P17" s="495"/>
      <c r="Q17" s="495"/>
      <c r="R17" s="496"/>
      <c r="S17" s="179"/>
      <c r="T17" s="467"/>
      <c r="U17" s="506"/>
      <c r="V17" s="498"/>
      <c r="W17" s="498"/>
      <c r="X17" s="498"/>
      <c r="Y17" s="498"/>
      <c r="Z17" s="498"/>
      <c r="AA17" s="498"/>
      <c r="AB17" s="498"/>
      <c r="AC17" s="498"/>
      <c r="AD17" s="498"/>
      <c r="AF17" s="498"/>
      <c r="AG17" s="498"/>
      <c r="AH17" s="498"/>
      <c r="AI17" s="498"/>
      <c r="AJ17" s="498"/>
      <c r="AK17" s="498"/>
      <c r="AL17" s="498"/>
    </row>
    <row r="18" spans="1:38" ht="14.25" customHeight="1">
      <c r="A18" s="454"/>
      <c r="B18" s="717" t="s">
        <v>44</v>
      </c>
      <c r="C18" s="717"/>
      <c r="D18" s="717"/>
      <c r="E18" s="717"/>
      <c r="F18" s="717"/>
      <c r="G18" s="717"/>
      <c r="H18" s="717"/>
      <c r="I18" s="717"/>
      <c r="J18" s="717"/>
      <c r="K18" s="717"/>
      <c r="L18" s="717"/>
      <c r="M18" s="717"/>
      <c r="N18" s="717"/>
      <c r="O18" s="717"/>
      <c r="P18" s="717"/>
      <c r="Q18" s="717"/>
      <c r="R18" s="694"/>
      <c r="S18" s="454"/>
      <c r="T18" s="507"/>
      <c r="U18" s="507"/>
      <c r="V18" s="507"/>
      <c r="W18" s="507"/>
      <c r="X18" s="507"/>
      <c r="Y18" s="503"/>
      <c r="Z18" s="507"/>
      <c r="AA18" s="507"/>
      <c r="AB18" s="503" t="s">
        <v>33</v>
      </c>
      <c r="AC18" s="507"/>
      <c r="AD18" s="507"/>
      <c r="AE18" s="502"/>
      <c r="AF18" s="502"/>
      <c r="AG18" s="502"/>
      <c r="AH18" s="504"/>
      <c r="AI18" s="504"/>
      <c r="AJ18" s="505"/>
      <c r="AK18" s="505"/>
      <c r="AL18" s="504"/>
    </row>
    <row r="19" spans="1:38" ht="14.25" customHeight="1">
      <c r="A19" s="179"/>
      <c r="B19" s="508"/>
      <c r="C19" s="508"/>
      <c r="D19" s="508"/>
      <c r="E19" s="508"/>
      <c r="F19" s="508"/>
      <c r="G19" s="508"/>
      <c r="H19" s="508"/>
      <c r="I19" s="508"/>
      <c r="J19" s="508"/>
      <c r="K19" s="508"/>
      <c r="L19" s="508"/>
      <c r="M19" s="508"/>
      <c r="N19" s="508"/>
      <c r="O19" s="508"/>
      <c r="P19" s="508"/>
      <c r="Q19" s="508"/>
      <c r="R19" s="695"/>
      <c r="S19" s="179"/>
      <c r="T19" s="509"/>
      <c r="U19" s="509"/>
      <c r="V19" s="509"/>
      <c r="W19" s="509"/>
      <c r="X19" s="509"/>
      <c r="Y19" s="510"/>
      <c r="Z19" s="511"/>
      <c r="AA19" s="509"/>
      <c r="AB19" s="482" t="s">
        <v>8</v>
      </c>
      <c r="AC19" s="482">
        <v>0.21567787534804017</v>
      </c>
      <c r="AD19" s="509"/>
      <c r="AE19" s="502"/>
      <c r="AF19" s="502"/>
      <c r="AG19" s="502"/>
      <c r="AH19" s="504"/>
      <c r="AI19" s="504"/>
      <c r="AJ19" s="505"/>
      <c r="AK19" s="505"/>
      <c r="AL19" s="504"/>
    </row>
    <row r="20" spans="1:38" ht="14.25" customHeight="1">
      <c r="A20" s="179"/>
      <c r="B20" s="408" t="s">
        <v>24</v>
      </c>
      <c r="C20" s="485"/>
      <c r="D20" s="710">
        <f>D7/$R$7</f>
        <v>8.9541417437012868E-3</v>
      </c>
      <c r="E20" s="710">
        <f t="shared" ref="E20:P20" si="0">E7/$R$7</f>
        <v>0</v>
      </c>
      <c r="F20" s="710">
        <f t="shared" si="0"/>
        <v>8.9450788471995654E-2</v>
      </c>
      <c r="G20" s="710">
        <f t="shared" si="0"/>
        <v>0</v>
      </c>
      <c r="H20" s="710">
        <f t="shared" si="0"/>
        <v>0.43661410186695671</v>
      </c>
      <c r="I20" s="710">
        <f t="shared" si="0"/>
        <v>0</v>
      </c>
      <c r="J20" s="710">
        <f t="shared" si="0"/>
        <v>0.4426137393510966</v>
      </c>
      <c r="K20" s="710">
        <f t="shared" si="0"/>
        <v>0</v>
      </c>
      <c r="L20" s="710">
        <f t="shared" si="0"/>
        <v>1.2398042414355628E-2</v>
      </c>
      <c r="M20" s="710">
        <f t="shared" si="0"/>
        <v>0</v>
      </c>
      <c r="N20" s="710">
        <f t="shared" si="0"/>
        <v>5.1658510059815121E-3</v>
      </c>
      <c r="O20" s="710">
        <f t="shared" si="0"/>
        <v>0</v>
      </c>
      <c r="P20" s="710">
        <f t="shared" si="0"/>
        <v>4.8033351459126333E-3</v>
      </c>
      <c r="Q20" s="495"/>
      <c r="R20" s="496"/>
      <c r="S20" s="179"/>
      <c r="T20" s="484"/>
      <c r="U20" s="30"/>
      <c r="V20" s="482"/>
      <c r="W20" s="482"/>
      <c r="X20" s="482"/>
      <c r="Y20" s="482"/>
    </row>
    <row r="21" spans="1:38" ht="14.25" customHeight="1">
      <c r="A21" s="179"/>
      <c r="B21" s="408" t="s">
        <v>25</v>
      </c>
      <c r="C21" s="500"/>
      <c r="D21" s="710">
        <f>D8/$R$8</f>
        <v>1.0776488474523218E-2</v>
      </c>
      <c r="E21" s="710">
        <f t="shared" ref="E21:O21" si="1">E8/$R$8</f>
        <v>0</v>
      </c>
      <c r="F21" s="710">
        <f t="shared" si="1"/>
        <v>0.11281776108390905</v>
      </c>
      <c r="G21" s="710">
        <f t="shared" si="1"/>
        <v>0</v>
      </c>
      <c r="H21" s="710">
        <f t="shared" si="1"/>
        <v>0.49122453998703242</v>
      </c>
      <c r="I21" s="710">
        <f t="shared" si="1"/>
        <v>0</v>
      </c>
      <c r="J21" s="710">
        <f t="shared" si="1"/>
        <v>0.36192903615265948</v>
      </c>
      <c r="K21" s="710">
        <f t="shared" si="1"/>
        <v>0</v>
      </c>
      <c r="L21" s="710">
        <f t="shared" si="1"/>
        <v>1.3079348044805152E-2</v>
      </c>
      <c r="M21" s="710">
        <f t="shared" si="1"/>
        <v>0</v>
      </c>
      <c r="N21" s="710">
        <f t="shared" si="1"/>
        <v>4.9187291792429626E-3</v>
      </c>
      <c r="O21" s="710">
        <f t="shared" si="1"/>
        <v>0</v>
      </c>
      <c r="P21" s="710">
        <f>P8/$R$8</f>
        <v>5.2540970778277105E-3</v>
      </c>
      <c r="Q21" s="495"/>
      <c r="R21" s="496"/>
      <c r="S21" s="501"/>
      <c r="T21" s="484"/>
      <c r="U21" s="30"/>
      <c r="V21" s="502"/>
      <c r="W21" s="502"/>
      <c r="X21" s="502"/>
      <c r="Y21" s="502"/>
      <c r="Z21" s="502"/>
      <c r="AA21" s="502"/>
      <c r="AD21" s="502"/>
      <c r="AE21" s="502"/>
      <c r="AF21" s="502"/>
      <c r="AG21" s="502"/>
      <c r="AH21" s="504"/>
      <c r="AI21" s="504"/>
      <c r="AJ21" s="505"/>
      <c r="AK21" s="505"/>
      <c r="AL21" s="504"/>
    </row>
    <row r="22" spans="1:38" ht="14.25" customHeight="1">
      <c r="A22" s="179"/>
      <c r="B22" s="408" t="s">
        <v>26</v>
      </c>
      <c r="C22" s="500"/>
      <c r="D22" s="710">
        <f>D9/$R$9</f>
        <v>9.0262248424476527E-3</v>
      </c>
      <c r="E22" s="710">
        <f t="shared" ref="E22:P22" si="2">E9/$R$9</f>
        <v>0</v>
      </c>
      <c r="F22" s="710">
        <f t="shared" si="2"/>
        <v>0.12053262858304534</v>
      </c>
      <c r="G22" s="710">
        <f t="shared" si="2"/>
        <v>0</v>
      </c>
      <c r="H22" s="710">
        <f t="shared" si="2"/>
        <v>0.4942671274649319</v>
      </c>
      <c r="I22" s="710">
        <f t="shared" si="2"/>
        <v>0</v>
      </c>
      <c r="J22" s="710">
        <f t="shared" si="2"/>
        <v>0.34759097377515757</v>
      </c>
      <c r="K22" s="710">
        <f t="shared" si="2"/>
        <v>0</v>
      </c>
      <c r="L22" s="710">
        <f t="shared" si="2"/>
        <v>1.4738768042285017E-2</v>
      </c>
      <c r="M22" s="710">
        <f t="shared" si="2"/>
        <v>0</v>
      </c>
      <c r="N22" s="710">
        <f t="shared" si="2"/>
        <v>8.1520634275259202E-3</v>
      </c>
      <c r="O22" s="710">
        <f t="shared" si="2"/>
        <v>0</v>
      </c>
      <c r="P22" s="710">
        <f t="shared" si="2"/>
        <v>5.6922138646066274E-3</v>
      </c>
      <c r="Q22" s="495"/>
      <c r="R22" s="496"/>
      <c r="S22" s="501"/>
      <c r="T22" s="484"/>
      <c r="U22" s="30"/>
      <c r="V22" s="502"/>
      <c r="W22" s="502"/>
      <c r="X22" s="502"/>
      <c r="Y22" s="502"/>
      <c r="Z22" s="502"/>
      <c r="AA22" s="502"/>
      <c r="AB22" s="502"/>
      <c r="AC22" s="502"/>
      <c r="AD22" s="502"/>
      <c r="AE22" s="502"/>
      <c r="AF22" s="502"/>
      <c r="AG22" s="502"/>
      <c r="AH22" s="504"/>
      <c r="AI22" s="504"/>
      <c r="AJ22" s="505"/>
      <c r="AK22" s="505"/>
      <c r="AL22" s="504"/>
    </row>
    <row r="23" spans="1:38" ht="14.25" customHeight="1">
      <c r="A23" s="179"/>
      <c r="B23" s="408" t="s">
        <v>27</v>
      </c>
      <c r="C23" s="500"/>
      <c r="D23" s="710">
        <f>D10/$R$10</f>
        <v>8.5617100228054573E-3</v>
      </c>
      <c r="E23" s="710">
        <f t="shared" ref="E23:P23" si="3">E10/$R$10</f>
        <v>0</v>
      </c>
      <c r="F23" s="710">
        <f t="shared" si="3"/>
        <v>0.11841444087974953</v>
      </c>
      <c r="G23" s="710">
        <f t="shared" si="3"/>
        <v>0</v>
      </c>
      <c r="H23" s="710">
        <f t="shared" si="3"/>
        <v>0.45748134977387811</v>
      </c>
      <c r="I23" s="710">
        <f t="shared" si="3"/>
        <v>0</v>
      </c>
      <c r="J23" s="710">
        <f t="shared" si="3"/>
        <v>0.39026322909821809</v>
      </c>
      <c r="K23" s="710">
        <f t="shared" si="3"/>
        <v>0</v>
      </c>
      <c r="L23" s="710">
        <f t="shared" si="3"/>
        <v>1.4475667736075143E-2</v>
      </c>
      <c r="M23" s="710">
        <f t="shared" si="3"/>
        <v>0</v>
      </c>
      <c r="N23" s="710">
        <f t="shared" si="3"/>
        <v>6.0878976460129099E-3</v>
      </c>
      <c r="O23" s="710">
        <f t="shared" si="3"/>
        <v>0</v>
      </c>
      <c r="P23" s="710">
        <f t="shared" si="3"/>
        <v>4.7157048432607939E-3</v>
      </c>
      <c r="Q23" s="495"/>
      <c r="R23" s="496"/>
      <c r="S23" s="501"/>
      <c r="T23" s="484"/>
      <c r="U23" s="30"/>
      <c r="V23" s="502"/>
      <c r="W23" s="502"/>
      <c r="X23" s="502"/>
      <c r="Y23" s="502"/>
      <c r="Z23" s="502"/>
      <c r="AA23" s="502"/>
      <c r="AB23" s="502"/>
      <c r="AC23" s="502"/>
      <c r="AD23" s="502"/>
      <c r="AE23" s="502"/>
      <c r="AF23" s="502"/>
      <c r="AG23" s="502"/>
      <c r="AH23" s="504"/>
      <c r="AI23" s="504"/>
      <c r="AJ23" s="505"/>
      <c r="AK23" s="505"/>
      <c r="AL23" s="504"/>
    </row>
    <row r="24" spans="1:38" ht="14.25" customHeight="1">
      <c r="A24" s="179"/>
      <c r="B24" s="408" t="s">
        <v>30</v>
      </c>
      <c r="C24" s="500"/>
      <c r="D24" s="495">
        <f>D11/$R$11</f>
        <v>8.0469404861693208E-3</v>
      </c>
      <c r="E24" s="495">
        <f t="shared" ref="E24:P24" si="4">E11/$R$11</f>
        <v>0</v>
      </c>
      <c r="F24" s="495">
        <f t="shared" si="4"/>
        <v>0.1059886374219987</v>
      </c>
      <c r="G24" s="495">
        <f t="shared" si="4"/>
        <v>0</v>
      </c>
      <c r="H24" s="495">
        <f t="shared" si="4"/>
        <v>0.44163174070969546</v>
      </c>
      <c r="I24" s="495">
        <f t="shared" si="4"/>
        <v>0</v>
      </c>
      <c r="J24" s="495">
        <f t="shared" si="4"/>
        <v>0.41825463351029152</v>
      </c>
      <c r="K24" s="495">
        <f t="shared" si="4"/>
        <v>0</v>
      </c>
      <c r="L24" s="495">
        <f t="shared" si="4"/>
        <v>1.4827232932849026E-2</v>
      </c>
      <c r="M24" s="495">
        <f t="shared" si="4"/>
        <v>0</v>
      </c>
      <c r="N24" s="495">
        <f t="shared" si="4"/>
        <v>6.3146130203967591E-3</v>
      </c>
      <c r="O24" s="495">
        <f t="shared" si="4"/>
        <v>0</v>
      </c>
      <c r="P24" s="495">
        <f t="shared" si="4"/>
        <v>4.936201918599236E-3</v>
      </c>
      <c r="Q24" s="495"/>
      <c r="R24" s="496"/>
      <c r="S24" s="501"/>
      <c r="T24" s="484"/>
      <c r="U24" s="30"/>
      <c r="V24" s="502"/>
      <c r="W24" s="502"/>
      <c r="X24" s="502"/>
      <c r="Y24" s="502"/>
      <c r="Z24" s="502"/>
      <c r="AA24" s="502"/>
      <c r="AB24" s="502"/>
      <c r="AC24" s="502"/>
      <c r="AD24" s="502"/>
      <c r="AE24" s="502"/>
      <c r="AF24" s="502"/>
      <c r="AG24" s="502"/>
      <c r="AH24" s="504"/>
      <c r="AI24" s="504"/>
      <c r="AJ24" s="505"/>
      <c r="AK24" s="505"/>
      <c r="AL24" s="504"/>
    </row>
    <row r="25" spans="1:38" ht="14.25" customHeight="1">
      <c r="A25" s="179"/>
      <c r="B25" s="514" t="s">
        <v>395</v>
      </c>
      <c r="C25" s="515"/>
      <c r="D25" s="712">
        <f>D12/$R$12</f>
        <v>8.5207457537655289E-3</v>
      </c>
      <c r="E25" s="712">
        <f t="shared" ref="E25:O25" si="5">E12/$R$12</f>
        <v>0</v>
      </c>
      <c r="F25" s="712">
        <f t="shared" si="5"/>
        <v>0.11423831696420156</v>
      </c>
      <c r="G25" s="712">
        <f t="shared" si="5"/>
        <v>0</v>
      </c>
      <c r="H25" s="712">
        <f t="shared" si="5"/>
        <v>0.4288461175938319</v>
      </c>
      <c r="I25" s="712">
        <f t="shared" si="5"/>
        <v>0</v>
      </c>
      <c r="J25" s="712">
        <f t="shared" si="5"/>
        <v>0.41898693611325805</v>
      </c>
      <c r="K25" s="712">
        <f t="shared" si="5"/>
        <v>0</v>
      </c>
      <c r="L25" s="712">
        <f t="shared" si="5"/>
        <v>1.8511885686278207E-2</v>
      </c>
      <c r="M25" s="712">
        <f t="shared" si="5"/>
        <v>0</v>
      </c>
      <c r="N25" s="712">
        <f t="shared" si="5"/>
        <v>7.05035157501838E-3</v>
      </c>
      <c r="O25" s="712">
        <f t="shared" si="5"/>
        <v>0</v>
      </c>
      <c r="P25" s="712">
        <f>P12/$R$12</f>
        <v>3.8456463136463891E-3</v>
      </c>
      <c r="Q25" s="495"/>
      <c r="R25" s="496"/>
      <c r="S25" s="501"/>
      <c r="T25" s="484"/>
      <c r="U25" s="30"/>
      <c r="V25" s="502"/>
      <c r="W25" s="502"/>
      <c r="X25" s="502"/>
      <c r="Y25" s="502"/>
      <c r="Z25" s="502"/>
      <c r="AA25" s="502"/>
      <c r="AB25" s="502"/>
      <c r="AC25" s="502"/>
      <c r="AD25" s="502"/>
      <c r="AE25" s="502"/>
      <c r="AF25" s="502"/>
      <c r="AG25" s="502"/>
      <c r="AH25" s="504"/>
      <c r="AI25" s="504"/>
      <c r="AJ25" s="505"/>
      <c r="AK25" s="505"/>
      <c r="AL25" s="504"/>
    </row>
    <row r="26" spans="1:38" ht="6" customHeight="1">
      <c r="A26" s="179"/>
      <c r="B26" s="513"/>
      <c r="C26" s="485"/>
      <c r="D26" s="495"/>
      <c r="E26" s="495"/>
      <c r="F26" s="495"/>
      <c r="G26" s="495"/>
      <c r="H26" s="495"/>
      <c r="I26" s="495"/>
      <c r="J26" s="495"/>
      <c r="K26" s="495"/>
      <c r="L26" s="495"/>
      <c r="M26" s="495"/>
      <c r="N26" s="495"/>
      <c r="O26" s="495"/>
      <c r="P26" s="495"/>
      <c r="Q26" s="495"/>
      <c r="R26" s="496"/>
      <c r="S26" s="179"/>
      <c r="T26" s="484"/>
      <c r="U26" s="30"/>
      <c r="V26" s="482"/>
      <c r="W26" s="482"/>
      <c r="X26" s="482"/>
      <c r="Y26" s="482"/>
      <c r="Z26" s="482"/>
      <c r="AA26" s="482"/>
      <c r="AC26" s="482"/>
      <c r="AD26" s="482"/>
      <c r="AE26" s="482"/>
      <c r="AF26" s="482"/>
      <c r="AG26" s="482"/>
      <c r="AH26" s="482"/>
      <c r="AI26" s="482"/>
      <c r="AJ26" s="482"/>
      <c r="AK26" s="482"/>
      <c r="AL26" s="482"/>
    </row>
    <row r="27" spans="1:38" ht="14.25" customHeight="1">
      <c r="A27" s="179"/>
      <c r="B27" s="179" t="s">
        <v>34</v>
      </c>
      <c r="C27" s="173"/>
      <c r="D27" s="179"/>
      <c r="E27" s="179"/>
      <c r="F27" s="179"/>
      <c r="G27" s="179"/>
      <c r="H27" s="179"/>
      <c r="I27" s="179"/>
      <c r="J27" s="179"/>
      <c r="K27" s="179"/>
      <c r="L27" s="179"/>
      <c r="M27" s="179"/>
      <c r="N27" s="179"/>
      <c r="O27" s="179"/>
      <c r="P27" s="179"/>
      <c r="Q27" s="179"/>
      <c r="R27" s="714"/>
      <c r="S27" s="179"/>
    </row>
    <row r="28" spans="1:38" ht="46.5" customHeight="1">
      <c r="A28" s="179"/>
      <c r="B28" s="718" t="s">
        <v>35</v>
      </c>
      <c r="C28" s="718"/>
      <c r="D28" s="718"/>
      <c r="E28" s="718"/>
      <c r="F28" s="718"/>
      <c r="G28" s="718"/>
      <c r="H28" s="718"/>
      <c r="I28" s="718"/>
      <c r="J28" s="718"/>
      <c r="K28" s="718"/>
      <c r="L28" s="718"/>
      <c r="M28" s="718"/>
      <c r="N28" s="718"/>
      <c r="O28" s="718"/>
      <c r="P28" s="718"/>
      <c r="Q28" s="718"/>
      <c r="R28" s="718"/>
      <c r="S28" s="179"/>
    </row>
    <row r="29" spans="1:38" ht="14.25" customHeight="1">
      <c r="A29" s="179"/>
      <c r="B29" s="179" t="s">
        <v>408</v>
      </c>
      <c r="C29" s="173"/>
      <c r="D29" s="179"/>
      <c r="E29" s="179"/>
      <c r="F29" s="179"/>
      <c r="G29" s="179"/>
      <c r="H29" s="179"/>
      <c r="I29" s="179"/>
      <c r="J29" s="179"/>
      <c r="K29" s="179"/>
      <c r="L29" s="179"/>
      <c r="M29" s="179"/>
      <c r="N29" s="179"/>
      <c r="O29" s="179"/>
      <c r="P29" s="179"/>
      <c r="Q29" s="179"/>
      <c r="R29" s="714"/>
      <c r="S29" s="179"/>
    </row>
    <row r="30" spans="1:38" ht="14.25" customHeight="1">
      <c r="A30" s="179"/>
      <c r="B30" s="179"/>
      <c r="C30" s="173"/>
      <c r="D30" s="179"/>
      <c r="E30" s="179"/>
      <c r="F30" s="179"/>
      <c r="G30" s="179"/>
      <c r="H30" s="179"/>
      <c r="I30" s="179"/>
      <c r="J30" s="179"/>
      <c r="K30" s="179"/>
      <c r="L30" s="179"/>
      <c r="M30" s="179"/>
      <c r="N30" s="179"/>
      <c r="O30" s="179"/>
      <c r="P30" s="179"/>
      <c r="Q30" s="179"/>
      <c r="R30" s="714"/>
      <c r="S30" s="179"/>
    </row>
    <row r="31" spans="1:38" ht="14.25" customHeight="1">
      <c r="A31" s="179"/>
      <c r="B31" s="249" t="s">
        <v>36</v>
      </c>
      <c r="C31" s="173"/>
      <c r="D31" s="179"/>
      <c r="E31" s="179"/>
      <c r="F31" s="179"/>
      <c r="G31" s="179"/>
      <c r="H31" s="179"/>
      <c r="I31" s="179"/>
      <c r="J31" s="179"/>
      <c r="K31" s="179"/>
      <c r="L31" s="179"/>
      <c r="M31" s="179"/>
      <c r="N31" s="179"/>
      <c r="O31" s="179"/>
      <c r="P31" s="179"/>
      <c r="Q31" s="179"/>
      <c r="R31" s="714"/>
      <c r="S31" s="179"/>
    </row>
    <row r="32" spans="1:38" ht="14.25" customHeight="1">
      <c r="A32" s="179"/>
      <c r="B32" s="715" t="s">
        <v>416</v>
      </c>
      <c r="C32" s="173"/>
      <c r="D32" s="179"/>
      <c r="E32" s="179"/>
      <c r="F32" s="179"/>
      <c r="G32" s="179"/>
      <c r="H32" s="179"/>
      <c r="I32" s="179"/>
      <c r="J32" s="179"/>
      <c r="K32" s="179"/>
      <c r="L32" s="179"/>
      <c r="M32" s="179"/>
      <c r="N32" s="179"/>
      <c r="O32" s="179"/>
      <c r="P32" s="179"/>
      <c r="Q32" s="179"/>
      <c r="R32" s="714"/>
      <c r="S32" s="179"/>
    </row>
    <row r="36" spans="4:49" ht="14.25" customHeight="1">
      <c r="D36" s="711"/>
      <c r="E36" s="711"/>
      <c r="F36" s="711"/>
      <c r="G36" s="711"/>
      <c r="H36" s="711"/>
      <c r="I36" s="711"/>
      <c r="J36" s="711"/>
      <c r="K36" s="711"/>
      <c r="L36" s="711"/>
      <c r="M36" s="711"/>
      <c r="N36" s="711"/>
      <c r="O36" s="711"/>
      <c r="P36" s="711"/>
      <c r="Q36" s="711"/>
      <c r="R36" s="711"/>
      <c r="S36" s="711"/>
      <c r="T36" s="711"/>
      <c r="U36" s="711"/>
      <c r="V36" s="711"/>
      <c r="W36" s="711"/>
      <c r="X36" s="711"/>
      <c r="Y36" s="711"/>
      <c r="Z36" s="711"/>
      <c r="AA36" s="711"/>
      <c r="AB36" s="711"/>
      <c r="AC36" s="711"/>
      <c r="AD36" s="711"/>
      <c r="AE36" s="711"/>
      <c r="AF36" s="711"/>
      <c r="AG36" s="711"/>
      <c r="AH36" s="711"/>
      <c r="AI36" s="711"/>
      <c r="AJ36" s="711"/>
      <c r="AK36" s="711"/>
      <c r="AL36" s="711"/>
      <c r="AM36" s="711"/>
      <c r="AN36" s="711"/>
      <c r="AO36" s="711"/>
      <c r="AP36" s="711"/>
      <c r="AQ36" s="711"/>
      <c r="AR36" s="711"/>
      <c r="AS36" s="711"/>
      <c r="AT36" s="711"/>
      <c r="AU36" s="711"/>
      <c r="AV36" s="711"/>
      <c r="AW36" s="711"/>
    </row>
  </sheetData>
  <mergeCells count="3">
    <mergeCell ref="B3:Q3"/>
    <mergeCell ref="B18:Q18"/>
    <mergeCell ref="B28:R28"/>
  </mergeCells>
  <hyperlinks>
    <hyperlink ref="B32" r:id="rId1" display="ONS, Crime in England and Wales: Other related tables, Worksheet B5 (accessed 7 October 2025)." xr:uid="{FDE53223-4F44-44B5-8AE5-ADFD357FA1D6}"/>
  </hyperlinks>
  <pageMargins left="0.7" right="0.7" top="0.75" bottom="0.75" header="0.3" footer="0.3"/>
  <pageSetup paperSize="9" orientation="portrait" verticalDpi="12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sheetPr>
  <dimension ref="A1:BW76"/>
  <sheetViews>
    <sheetView showGridLines="0" tabSelected="1" zoomScale="80" zoomScaleNormal="80" workbookViewId="0">
      <pane xSplit="2" ySplit="4" topLeftCell="C18" activePane="bottomRight" state="frozen"/>
      <selection pane="topRight" activeCell="C1" sqref="C1"/>
      <selection pane="bottomLeft" activeCell="A5" sqref="A5"/>
      <selection pane="bottomRight" activeCell="C5" sqref="C5"/>
    </sheetView>
  </sheetViews>
  <sheetFormatPr baseColWidth="10" defaultColWidth="8.83203125" defaultRowHeight="14"/>
  <cols>
    <col min="1" max="1" width="1.5" style="6" customWidth="1"/>
    <col min="2" max="2" width="9.1640625" style="6"/>
    <col min="3" max="3" width="12.5" style="11" customWidth="1"/>
    <col min="4" max="4" width="11" style="11" customWidth="1"/>
    <col min="5" max="5" width="10.83203125" style="11" customWidth="1"/>
    <col min="6" max="6" width="11.1640625" style="11" customWidth="1"/>
    <col min="7" max="7" width="10.33203125" style="11" customWidth="1"/>
    <col min="8" max="8" width="10.5" style="11" customWidth="1"/>
    <col min="9" max="9" width="9.1640625" style="11"/>
    <col min="10" max="10" width="10" style="11" customWidth="1"/>
    <col min="11" max="11" width="9.6640625" style="11" customWidth="1"/>
    <col min="12" max="14" width="9.1640625" style="11" customWidth="1"/>
    <col min="15" max="15" width="7.5" style="8" customWidth="1"/>
    <col min="16" max="16" width="1.5" style="6" customWidth="1"/>
    <col min="17" max="184" width="9.1640625" style="6"/>
    <col min="185" max="186" width="10.33203125" style="6" customWidth="1"/>
    <col min="187" max="187" width="10.5" style="6" customWidth="1"/>
    <col min="188" max="188" width="14" style="6" customWidth="1"/>
    <col min="189" max="440" width="9.1640625" style="6"/>
    <col min="441" max="442" width="10.33203125" style="6" customWidth="1"/>
    <col min="443" max="443" width="10.5" style="6" customWidth="1"/>
    <col min="444" max="444" width="14" style="6" customWidth="1"/>
    <col min="445" max="696" width="9.1640625" style="6"/>
    <col min="697" max="698" width="10.33203125" style="6" customWidth="1"/>
    <col min="699" max="699" width="10.5" style="6" customWidth="1"/>
    <col min="700" max="700" width="14" style="6" customWidth="1"/>
    <col min="701" max="952" width="9.1640625" style="6"/>
    <col min="953" max="954" width="10.33203125" style="6" customWidth="1"/>
    <col min="955" max="955" width="10.5" style="6" customWidth="1"/>
    <col min="956" max="956" width="14" style="6" customWidth="1"/>
    <col min="957" max="1208" width="9.1640625" style="6"/>
    <col min="1209" max="1210" width="10.33203125" style="6" customWidth="1"/>
    <col min="1211" max="1211" width="10.5" style="6" customWidth="1"/>
    <col min="1212" max="1212" width="14" style="6" customWidth="1"/>
    <col min="1213" max="1464" width="9.1640625" style="6"/>
    <col min="1465" max="1466" width="10.33203125" style="6" customWidth="1"/>
    <col min="1467" max="1467" width="10.5" style="6" customWidth="1"/>
    <col min="1468" max="1468" width="14" style="6" customWidth="1"/>
    <col min="1469" max="1720" width="9.1640625" style="6"/>
    <col min="1721" max="1722" width="10.33203125" style="6" customWidth="1"/>
    <col min="1723" max="1723" width="10.5" style="6" customWidth="1"/>
    <col min="1724" max="1724" width="14" style="6" customWidth="1"/>
    <col min="1725" max="1976" width="9.1640625" style="6"/>
    <col min="1977" max="1978" width="10.33203125" style="6" customWidth="1"/>
    <col min="1979" max="1979" width="10.5" style="6" customWidth="1"/>
    <col min="1980" max="1980" width="14" style="6" customWidth="1"/>
    <col min="1981" max="2232" width="9.1640625" style="6"/>
    <col min="2233" max="2234" width="10.33203125" style="6" customWidth="1"/>
    <col min="2235" max="2235" width="10.5" style="6" customWidth="1"/>
    <col min="2236" max="2236" width="14" style="6" customWidth="1"/>
    <col min="2237" max="2488" width="9.1640625" style="6"/>
    <col min="2489" max="2490" width="10.33203125" style="6" customWidth="1"/>
    <col min="2491" max="2491" width="10.5" style="6" customWidth="1"/>
    <col min="2492" max="2492" width="14" style="6" customWidth="1"/>
    <col min="2493" max="2744" width="9.1640625" style="6"/>
    <col min="2745" max="2746" width="10.33203125" style="6" customWidth="1"/>
    <col min="2747" max="2747" width="10.5" style="6" customWidth="1"/>
    <col min="2748" max="2748" width="14" style="6" customWidth="1"/>
    <col min="2749" max="3000" width="9.1640625" style="6"/>
    <col min="3001" max="3002" width="10.33203125" style="6" customWidth="1"/>
    <col min="3003" max="3003" width="10.5" style="6" customWidth="1"/>
    <col min="3004" max="3004" width="14" style="6" customWidth="1"/>
    <col min="3005" max="3256" width="9.1640625" style="6"/>
    <col min="3257" max="3258" width="10.33203125" style="6" customWidth="1"/>
    <col min="3259" max="3259" width="10.5" style="6" customWidth="1"/>
    <col min="3260" max="3260" width="14" style="6" customWidth="1"/>
    <col min="3261" max="3512" width="9.1640625" style="6"/>
    <col min="3513" max="3514" width="10.33203125" style="6" customWidth="1"/>
    <col min="3515" max="3515" width="10.5" style="6" customWidth="1"/>
    <col min="3516" max="3516" width="14" style="6" customWidth="1"/>
    <col min="3517" max="3768" width="9.1640625" style="6"/>
    <col min="3769" max="3770" width="10.33203125" style="6" customWidth="1"/>
    <col min="3771" max="3771" width="10.5" style="6" customWidth="1"/>
    <col min="3772" max="3772" width="14" style="6" customWidth="1"/>
    <col min="3773" max="4024" width="9.1640625" style="6"/>
    <col min="4025" max="4026" width="10.33203125" style="6" customWidth="1"/>
    <col min="4027" max="4027" width="10.5" style="6" customWidth="1"/>
    <col min="4028" max="4028" width="14" style="6" customWidth="1"/>
    <col min="4029" max="4280" width="9.1640625" style="6"/>
    <col min="4281" max="4282" width="10.33203125" style="6" customWidth="1"/>
    <col min="4283" max="4283" width="10.5" style="6" customWidth="1"/>
    <col min="4284" max="4284" width="14" style="6" customWidth="1"/>
    <col min="4285" max="4536" width="9.1640625" style="6"/>
    <col min="4537" max="4538" width="10.33203125" style="6" customWidth="1"/>
    <col min="4539" max="4539" width="10.5" style="6" customWidth="1"/>
    <col min="4540" max="4540" width="14" style="6" customWidth="1"/>
    <col min="4541" max="4792" width="9.1640625" style="6"/>
    <col min="4793" max="4794" width="10.33203125" style="6" customWidth="1"/>
    <col min="4795" max="4795" width="10.5" style="6" customWidth="1"/>
    <col min="4796" max="4796" width="14" style="6" customWidth="1"/>
    <col min="4797" max="5048" width="9.1640625" style="6"/>
    <col min="5049" max="5050" width="10.33203125" style="6" customWidth="1"/>
    <col min="5051" max="5051" width="10.5" style="6" customWidth="1"/>
    <col min="5052" max="5052" width="14" style="6" customWidth="1"/>
    <col min="5053" max="5304" width="9.1640625" style="6"/>
    <col min="5305" max="5306" width="10.33203125" style="6" customWidth="1"/>
    <col min="5307" max="5307" width="10.5" style="6" customWidth="1"/>
    <col min="5308" max="5308" width="14" style="6" customWidth="1"/>
    <col min="5309" max="5560" width="9.1640625" style="6"/>
    <col min="5561" max="5562" width="10.33203125" style="6" customWidth="1"/>
    <col min="5563" max="5563" width="10.5" style="6" customWidth="1"/>
    <col min="5564" max="5564" width="14" style="6" customWidth="1"/>
    <col min="5565" max="5816" width="9.1640625" style="6"/>
    <col min="5817" max="5818" width="10.33203125" style="6" customWidth="1"/>
    <col min="5819" max="5819" width="10.5" style="6" customWidth="1"/>
    <col min="5820" max="5820" width="14" style="6" customWidth="1"/>
    <col min="5821" max="6072" width="9.1640625" style="6"/>
    <col min="6073" max="6074" width="10.33203125" style="6" customWidth="1"/>
    <col min="6075" max="6075" width="10.5" style="6" customWidth="1"/>
    <col min="6076" max="6076" width="14" style="6" customWidth="1"/>
    <col min="6077" max="6328" width="9.1640625" style="6"/>
    <col min="6329" max="6330" width="10.33203125" style="6" customWidth="1"/>
    <col min="6331" max="6331" width="10.5" style="6" customWidth="1"/>
    <col min="6332" max="6332" width="14" style="6" customWidth="1"/>
    <col min="6333" max="6584" width="9.1640625" style="6"/>
    <col min="6585" max="6586" width="10.33203125" style="6" customWidth="1"/>
    <col min="6587" max="6587" width="10.5" style="6" customWidth="1"/>
    <col min="6588" max="6588" width="14" style="6" customWidth="1"/>
    <col min="6589" max="6840" width="9.1640625" style="6"/>
    <col min="6841" max="6842" width="10.33203125" style="6" customWidth="1"/>
    <col min="6843" max="6843" width="10.5" style="6" customWidth="1"/>
    <col min="6844" max="6844" width="14" style="6" customWidth="1"/>
    <col min="6845" max="7096" width="9.1640625" style="6"/>
    <col min="7097" max="7098" width="10.33203125" style="6" customWidth="1"/>
    <col min="7099" max="7099" width="10.5" style="6" customWidth="1"/>
    <col min="7100" max="7100" width="14" style="6" customWidth="1"/>
    <col min="7101" max="7352" width="9.1640625" style="6"/>
    <col min="7353" max="7354" width="10.33203125" style="6" customWidth="1"/>
    <col min="7355" max="7355" width="10.5" style="6" customWidth="1"/>
    <col min="7356" max="7356" width="14" style="6" customWidth="1"/>
    <col min="7357" max="7608" width="9.1640625" style="6"/>
    <col min="7609" max="7610" width="10.33203125" style="6" customWidth="1"/>
    <col min="7611" max="7611" width="10.5" style="6" customWidth="1"/>
    <col min="7612" max="7612" width="14" style="6" customWidth="1"/>
    <col min="7613" max="7864" width="9.1640625" style="6"/>
    <col min="7865" max="7866" width="10.33203125" style="6" customWidth="1"/>
    <col min="7867" max="7867" width="10.5" style="6" customWidth="1"/>
    <col min="7868" max="7868" width="14" style="6" customWidth="1"/>
    <col min="7869" max="8120" width="9.1640625" style="6"/>
    <col min="8121" max="8122" width="10.33203125" style="6" customWidth="1"/>
    <col min="8123" max="8123" width="10.5" style="6" customWidth="1"/>
    <col min="8124" max="8124" width="14" style="6" customWidth="1"/>
    <col min="8125" max="8376" width="9.1640625" style="6"/>
    <col min="8377" max="8378" width="10.33203125" style="6" customWidth="1"/>
    <col min="8379" max="8379" width="10.5" style="6" customWidth="1"/>
    <col min="8380" max="8380" width="14" style="6" customWidth="1"/>
    <col min="8381" max="8632" width="9.1640625" style="6"/>
    <col min="8633" max="8634" width="10.33203125" style="6" customWidth="1"/>
    <col min="8635" max="8635" width="10.5" style="6" customWidth="1"/>
    <col min="8636" max="8636" width="14" style="6" customWidth="1"/>
    <col min="8637" max="8888" width="9.1640625" style="6"/>
    <col min="8889" max="8890" width="10.33203125" style="6" customWidth="1"/>
    <col min="8891" max="8891" width="10.5" style="6" customWidth="1"/>
    <col min="8892" max="8892" width="14" style="6" customWidth="1"/>
    <col min="8893" max="9144" width="9.1640625" style="6"/>
    <col min="9145" max="9146" width="10.33203125" style="6" customWidth="1"/>
    <col min="9147" max="9147" width="10.5" style="6" customWidth="1"/>
    <col min="9148" max="9148" width="14" style="6" customWidth="1"/>
    <col min="9149" max="9400" width="9.1640625" style="6"/>
    <col min="9401" max="9402" width="10.33203125" style="6" customWidth="1"/>
    <col min="9403" max="9403" width="10.5" style="6" customWidth="1"/>
    <col min="9404" max="9404" width="14" style="6" customWidth="1"/>
    <col min="9405" max="9656" width="9.1640625" style="6"/>
    <col min="9657" max="9658" width="10.33203125" style="6" customWidth="1"/>
    <col min="9659" max="9659" width="10.5" style="6" customWidth="1"/>
    <col min="9660" max="9660" width="14" style="6" customWidth="1"/>
    <col min="9661" max="9912" width="9.1640625" style="6"/>
    <col min="9913" max="9914" width="10.33203125" style="6" customWidth="1"/>
    <col min="9915" max="9915" width="10.5" style="6" customWidth="1"/>
    <col min="9916" max="9916" width="14" style="6" customWidth="1"/>
    <col min="9917" max="10168" width="9.1640625" style="6"/>
    <col min="10169" max="10170" width="10.33203125" style="6" customWidth="1"/>
    <col min="10171" max="10171" width="10.5" style="6" customWidth="1"/>
    <col min="10172" max="10172" width="14" style="6" customWidth="1"/>
    <col min="10173" max="10424" width="9.1640625" style="6"/>
    <col min="10425" max="10426" width="10.33203125" style="6" customWidth="1"/>
    <col min="10427" max="10427" width="10.5" style="6" customWidth="1"/>
    <col min="10428" max="10428" width="14" style="6" customWidth="1"/>
    <col min="10429" max="10680" width="9.1640625" style="6"/>
    <col min="10681" max="10682" width="10.33203125" style="6" customWidth="1"/>
    <col min="10683" max="10683" width="10.5" style="6" customWidth="1"/>
    <col min="10684" max="10684" width="14" style="6" customWidth="1"/>
    <col min="10685" max="10936" width="9.1640625" style="6"/>
    <col min="10937" max="10938" width="10.33203125" style="6" customWidth="1"/>
    <col min="10939" max="10939" width="10.5" style="6" customWidth="1"/>
    <col min="10940" max="10940" width="14" style="6" customWidth="1"/>
    <col min="10941" max="11192" width="9.1640625" style="6"/>
    <col min="11193" max="11194" width="10.33203125" style="6" customWidth="1"/>
    <col min="11195" max="11195" width="10.5" style="6" customWidth="1"/>
    <col min="11196" max="11196" width="14" style="6" customWidth="1"/>
    <col min="11197" max="11448" width="9.1640625" style="6"/>
    <col min="11449" max="11450" width="10.33203125" style="6" customWidth="1"/>
    <col min="11451" max="11451" width="10.5" style="6" customWidth="1"/>
    <col min="11452" max="11452" width="14" style="6" customWidth="1"/>
    <col min="11453" max="11704" width="9.1640625" style="6"/>
    <col min="11705" max="11706" width="10.33203125" style="6" customWidth="1"/>
    <col min="11707" max="11707" width="10.5" style="6" customWidth="1"/>
    <col min="11708" max="11708" width="14" style="6" customWidth="1"/>
    <col min="11709" max="11960" width="9.1640625" style="6"/>
    <col min="11961" max="11962" width="10.33203125" style="6" customWidth="1"/>
    <col min="11963" max="11963" width="10.5" style="6" customWidth="1"/>
    <col min="11964" max="11964" width="14" style="6" customWidth="1"/>
    <col min="11965" max="12216" width="9.1640625" style="6"/>
    <col min="12217" max="12218" width="10.33203125" style="6" customWidth="1"/>
    <col min="12219" max="12219" width="10.5" style="6" customWidth="1"/>
    <col min="12220" max="12220" width="14" style="6" customWidth="1"/>
    <col min="12221" max="12472" width="9.1640625" style="6"/>
    <col min="12473" max="12474" width="10.33203125" style="6" customWidth="1"/>
    <col min="12475" max="12475" width="10.5" style="6" customWidth="1"/>
    <col min="12476" max="12476" width="14" style="6" customWidth="1"/>
    <col min="12477" max="12728" width="9.1640625" style="6"/>
    <col min="12729" max="12730" width="10.33203125" style="6" customWidth="1"/>
    <col min="12731" max="12731" width="10.5" style="6" customWidth="1"/>
    <col min="12732" max="12732" width="14" style="6" customWidth="1"/>
    <col min="12733" max="12984" width="9.1640625" style="6"/>
    <col min="12985" max="12986" width="10.33203125" style="6" customWidth="1"/>
    <col min="12987" max="12987" width="10.5" style="6" customWidth="1"/>
    <col min="12988" max="12988" width="14" style="6" customWidth="1"/>
    <col min="12989" max="13240" width="9.1640625" style="6"/>
    <col min="13241" max="13242" width="10.33203125" style="6" customWidth="1"/>
    <col min="13243" max="13243" width="10.5" style="6" customWidth="1"/>
    <col min="13244" max="13244" width="14" style="6" customWidth="1"/>
    <col min="13245" max="13496" width="9.1640625" style="6"/>
    <col min="13497" max="13498" width="10.33203125" style="6" customWidth="1"/>
    <col min="13499" max="13499" width="10.5" style="6" customWidth="1"/>
    <col min="13500" max="13500" width="14" style="6" customWidth="1"/>
    <col min="13501" max="13752" width="9.1640625" style="6"/>
    <col min="13753" max="13754" width="10.33203125" style="6" customWidth="1"/>
    <col min="13755" max="13755" width="10.5" style="6" customWidth="1"/>
    <col min="13756" max="13756" width="14" style="6" customWidth="1"/>
    <col min="13757" max="14008" width="9.1640625" style="6"/>
    <col min="14009" max="14010" width="10.33203125" style="6" customWidth="1"/>
    <col min="14011" max="14011" width="10.5" style="6" customWidth="1"/>
    <col min="14012" max="14012" width="14" style="6" customWidth="1"/>
    <col min="14013" max="14264" width="9.1640625" style="6"/>
    <col min="14265" max="14266" width="10.33203125" style="6" customWidth="1"/>
    <col min="14267" max="14267" width="10.5" style="6" customWidth="1"/>
    <col min="14268" max="14268" width="14" style="6" customWidth="1"/>
    <col min="14269" max="14520" width="9.1640625" style="6"/>
    <col min="14521" max="14522" width="10.33203125" style="6" customWidth="1"/>
    <col min="14523" max="14523" width="10.5" style="6" customWidth="1"/>
    <col min="14524" max="14524" width="14" style="6" customWidth="1"/>
    <col min="14525" max="14776" width="9.1640625" style="6"/>
    <col min="14777" max="14778" width="10.33203125" style="6" customWidth="1"/>
    <col min="14779" max="14779" width="10.5" style="6" customWidth="1"/>
    <col min="14780" max="14780" width="14" style="6" customWidth="1"/>
    <col min="14781" max="15032" width="9.1640625" style="6"/>
    <col min="15033" max="15034" width="10.33203125" style="6" customWidth="1"/>
    <col min="15035" max="15035" width="10.5" style="6" customWidth="1"/>
    <col min="15036" max="15036" width="14" style="6" customWidth="1"/>
    <col min="15037" max="15288" width="9.1640625" style="6"/>
    <col min="15289" max="15290" width="10.33203125" style="6" customWidth="1"/>
    <col min="15291" max="15291" width="10.5" style="6" customWidth="1"/>
    <col min="15292" max="15292" width="14" style="6" customWidth="1"/>
    <col min="15293" max="15544" width="9.1640625" style="6"/>
    <col min="15545" max="15546" width="10.33203125" style="6" customWidth="1"/>
    <col min="15547" max="15547" width="10.5" style="6" customWidth="1"/>
    <col min="15548" max="15548" width="14" style="6" customWidth="1"/>
    <col min="15549" max="15800" width="9.1640625" style="6"/>
    <col min="15801" max="15802" width="10.33203125" style="6" customWidth="1"/>
    <col min="15803" max="15803" width="10.5" style="6" customWidth="1"/>
    <col min="15804" max="15804" width="14" style="6" customWidth="1"/>
    <col min="15805" max="16056" width="9.1640625" style="6"/>
    <col min="16057" max="16058" width="10.33203125" style="6" customWidth="1"/>
    <col min="16059" max="16059" width="10.5" style="6" customWidth="1"/>
    <col min="16060" max="16060" width="14" style="6" customWidth="1"/>
    <col min="16061" max="16384" width="9.1640625" style="6"/>
  </cols>
  <sheetData>
    <row r="1" spans="1:75" ht="6" customHeight="1">
      <c r="A1" s="39"/>
      <c r="B1" s="39"/>
      <c r="C1" s="40"/>
      <c r="D1" s="40"/>
      <c r="E1" s="40"/>
      <c r="F1" s="40"/>
      <c r="G1" s="40"/>
      <c r="H1" s="40"/>
      <c r="I1" s="40"/>
      <c r="J1" s="40"/>
      <c r="K1" s="40"/>
      <c r="L1" s="40"/>
      <c r="M1" s="40"/>
      <c r="N1" s="40"/>
      <c r="O1" s="41"/>
      <c r="P1" s="39"/>
    </row>
    <row r="2" spans="1:75" ht="19.5" customHeight="1">
      <c r="A2" s="39"/>
      <c r="B2" s="42" t="s">
        <v>53</v>
      </c>
      <c r="C2" s="12"/>
      <c r="D2" s="12"/>
      <c r="E2" s="12"/>
      <c r="F2" s="12"/>
      <c r="G2" s="12"/>
      <c r="H2" s="12"/>
      <c r="I2" s="12"/>
      <c r="J2" s="12"/>
      <c r="K2" s="12"/>
      <c r="L2" s="12"/>
      <c r="M2" s="12"/>
      <c r="N2" s="12"/>
      <c r="O2" s="12"/>
      <c r="P2" s="39"/>
    </row>
    <row r="3" spans="1:75" ht="19.5" customHeight="1">
      <c r="A3" s="39"/>
      <c r="B3" s="44" t="s">
        <v>54</v>
      </c>
      <c r="C3" s="43"/>
      <c r="D3" s="13"/>
      <c r="E3" s="13"/>
      <c r="F3" s="13"/>
      <c r="G3" s="13"/>
      <c r="H3" s="13"/>
      <c r="I3" s="13"/>
      <c r="J3" s="13"/>
      <c r="K3" s="13"/>
      <c r="L3" s="13"/>
      <c r="M3" s="13"/>
      <c r="N3" s="13"/>
      <c r="O3" s="13"/>
      <c r="P3" s="39"/>
    </row>
    <row r="4" spans="1:75" s="7" customFormat="1" ht="46.5" customHeight="1">
      <c r="A4" s="45"/>
      <c r="B4" s="52"/>
      <c r="C4" s="53" t="s">
        <v>55</v>
      </c>
      <c r="D4" s="53" t="s">
        <v>56</v>
      </c>
      <c r="E4" s="53" t="s">
        <v>57</v>
      </c>
      <c r="F4" s="53" t="s">
        <v>58</v>
      </c>
      <c r="G4" s="53" t="s">
        <v>59</v>
      </c>
      <c r="H4" s="53" t="s">
        <v>60</v>
      </c>
      <c r="I4" s="53" t="s">
        <v>61</v>
      </c>
      <c r="J4" s="53" t="s">
        <v>62</v>
      </c>
      <c r="K4" s="53" t="s">
        <v>63</v>
      </c>
      <c r="L4" s="53" t="s">
        <v>64</v>
      </c>
      <c r="M4" s="53" t="s">
        <v>65</v>
      </c>
      <c r="N4" s="53" t="s">
        <v>66</v>
      </c>
      <c r="O4" s="54" t="s">
        <v>67</v>
      </c>
      <c r="P4" s="45"/>
    </row>
    <row r="5" spans="1:75" s="9" customFormat="1" ht="18" customHeight="1">
      <c r="A5" s="46"/>
      <c r="B5" s="46">
        <v>1977</v>
      </c>
      <c r="C5" s="47">
        <v>135</v>
      </c>
      <c r="D5" s="47">
        <v>63</v>
      </c>
      <c r="E5" s="47">
        <v>78</v>
      </c>
      <c r="F5" s="47">
        <v>68</v>
      </c>
      <c r="G5" s="47">
        <v>28</v>
      </c>
      <c r="H5" s="47">
        <v>0</v>
      </c>
      <c r="I5" s="47">
        <v>14</v>
      </c>
      <c r="J5" s="47">
        <v>7</v>
      </c>
      <c r="K5" s="47">
        <v>6</v>
      </c>
      <c r="L5" s="47">
        <v>6</v>
      </c>
      <c r="M5" s="47">
        <v>6</v>
      </c>
      <c r="N5" s="47">
        <v>2</v>
      </c>
      <c r="O5" s="50">
        <v>413</v>
      </c>
      <c r="P5" s="4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row>
    <row r="6" spans="1:75" s="9" customFormat="1">
      <c r="A6" s="46"/>
      <c r="B6" s="46">
        <v>1978</v>
      </c>
      <c r="C6" s="47">
        <v>163</v>
      </c>
      <c r="D6" s="47">
        <v>58</v>
      </c>
      <c r="E6" s="47">
        <v>88</v>
      </c>
      <c r="F6" s="47">
        <v>75</v>
      </c>
      <c r="G6" s="47">
        <v>35</v>
      </c>
      <c r="H6" s="47">
        <v>2</v>
      </c>
      <c r="I6" s="47">
        <v>9</v>
      </c>
      <c r="J6" s="47">
        <v>11</v>
      </c>
      <c r="K6" s="47">
        <v>12</v>
      </c>
      <c r="L6" s="47">
        <v>4</v>
      </c>
      <c r="M6" s="47">
        <v>10</v>
      </c>
      <c r="N6" s="47">
        <v>0</v>
      </c>
      <c r="O6" s="50">
        <v>467</v>
      </c>
      <c r="P6" s="4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row>
    <row r="7" spans="1:75" s="9" customFormat="1">
      <c r="A7" s="46"/>
      <c r="B7" s="46">
        <v>1979</v>
      </c>
      <c r="C7" s="47">
        <v>195</v>
      </c>
      <c r="D7" s="47">
        <v>69</v>
      </c>
      <c r="E7" s="47">
        <v>80</v>
      </c>
      <c r="F7" s="47">
        <v>102</v>
      </c>
      <c r="G7" s="47">
        <v>49</v>
      </c>
      <c r="H7" s="47">
        <v>1</v>
      </c>
      <c r="I7" s="47">
        <v>15</v>
      </c>
      <c r="J7" s="47">
        <v>14</v>
      </c>
      <c r="K7" s="47">
        <v>12</v>
      </c>
      <c r="L7" s="47">
        <v>3</v>
      </c>
      <c r="M7" s="47">
        <v>8</v>
      </c>
      <c r="N7" s="47">
        <v>0</v>
      </c>
      <c r="O7" s="50">
        <v>548</v>
      </c>
      <c r="P7" s="4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row>
    <row r="8" spans="1:75" s="9" customFormat="1">
      <c r="A8" s="46"/>
      <c r="B8" s="46">
        <v>1980</v>
      </c>
      <c r="C8" s="47">
        <v>151</v>
      </c>
      <c r="D8" s="47">
        <v>68</v>
      </c>
      <c r="E8" s="47">
        <v>85</v>
      </c>
      <c r="F8" s="47">
        <v>91</v>
      </c>
      <c r="G8" s="47">
        <v>17</v>
      </c>
      <c r="H8" s="47">
        <v>0</v>
      </c>
      <c r="I8" s="47">
        <v>80</v>
      </c>
      <c r="J8" s="47">
        <v>14</v>
      </c>
      <c r="K8" s="47">
        <v>9</v>
      </c>
      <c r="L8" s="47">
        <v>12</v>
      </c>
      <c r="M8" s="47">
        <v>8</v>
      </c>
      <c r="N8" s="47">
        <v>0</v>
      </c>
      <c r="O8" s="50">
        <v>535</v>
      </c>
      <c r="P8" s="4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row>
    <row r="9" spans="1:75" s="9" customFormat="1">
      <c r="A9" s="46"/>
      <c r="B9" s="46">
        <v>1981</v>
      </c>
      <c r="C9" s="47">
        <v>178</v>
      </c>
      <c r="D9" s="47">
        <v>54</v>
      </c>
      <c r="E9" s="47">
        <v>82</v>
      </c>
      <c r="F9" s="47">
        <v>87</v>
      </c>
      <c r="G9" s="47">
        <v>31</v>
      </c>
      <c r="H9" s="47">
        <v>3</v>
      </c>
      <c r="I9" s="47">
        <v>22</v>
      </c>
      <c r="J9" s="47">
        <v>4</v>
      </c>
      <c r="K9" s="47">
        <v>15</v>
      </c>
      <c r="L9" s="47">
        <v>12</v>
      </c>
      <c r="M9" s="47">
        <v>12</v>
      </c>
      <c r="N9" s="47">
        <v>0</v>
      </c>
      <c r="O9" s="50">
        <v>500</v>
      </c>
      <c r="P9" s="4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row>
    <row r="10" spans="1:75" s="9" customFormat="1" ht="6" customHeight="1">
      <c r="A10" s="46"/>
      <c r="B10" s="46"/>
      <c r="C10" s="47"/>
      <c r="D10" s="47"/>
      <c r="E10" s="47"/>
      <c r="F10" s="47"/>
      <c r="G10" s="47"/>
      <c r="H10" s="47"/>
      <c r="I10" s="47"/>
      <c r="J10" s="47"/>
      <c r="K10" s="47"/>
      <c r="L10" s="47"/>
      <c r="M10" s="47"/>
      <c r="N10" s="47"/>
      <c r="O10" s="50"/>
      <c r="P10" s="4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row>
    <row r="11" spans="1:75">
      <c r="A11" s="46"/>
      <c r="B11" s="46">
        <v>1982</v>
      </c>
      <c r="C11" s="47">
        <v>191</v>
      </c>
      <c r="D11" s="47">
        <v>68</v>
      </c>
      <c r="E11" s="47">
        <v>71</v>
      </c>
      <c r="F11" s="47">
        <v>108</v>
      </c>
      <c r="G11" s="47">
        <v>46</v>
      </c>
      <c r="H11" s="47">
        <v>11</v>
      </c>
      <c r="I11" s="47">
        <v>29</v>
      </c>
      <c r="J11" s="47">
        <v>7</v>
      </c>
      <c r="K11" s="47">
        <v>11</v>
      </c>
      <c r="L11" s="47">
        <v>8</v>
      </c>
      <c r="M11" s="47">
        <v>5</v>
      </c>
      <c r="N11" s="47">
        <v>2</v>
      </c>
      <c r="O11" s="50">
        <v>557</v>
      </c>
      <c r="P11" s="46"/>
    </row>
    <row r="12" spans="1:75">
      <c r="A12" s="46"/>
      <c r="B12" s="46">
        <v>1983</v>
      </c>
      <c r="C12" s="47">
        <v>150</v>
      </c>
      <c r="D12" s="47">
        <v>68</v>
      </c>
      <c r="E12" s="47">
        <v>69</v>
      </c>
      <c r="F12" s="47">
        <v>103</v>
      </c>
      <c r="G12" s="47">
        <v>39</v>
      </c>
      <c r="H12" s="47">
        <v>6</v>
      </c>
      <c r="I12" s="47">
        <v>19</v>
      </c>
      <c r="J12" s="47">
        <v>8</v>
      </c>
      <c r="K12" s="47">
        <v>8</v>
      </c>
      <c r="L12" s="47">
        <v>3</v>
      </c>
      <c r="M12" s="47">
        <v>7</v>
      </c>
      <c r="N12" s="47">
        <v>2</v>
      </c>
      <c r="O12" s="50">
        <v>482</v>
      </c>
      <c r="P12" s="46"/>
    </row>
    <row r="13" spans="1:75">
      <c r="A13" s="46"/>
      <c r="B13" s="46">
        <v>1984</v>
      </c>
      <c r="C13" s="47">
        <v>187</v>
      </c>
      <c r="D13" s="47">
        <v>76</v>
      </c>
      <c r="E13" s="47">
        <v>73</v>
      </c>
      <c r="F13" s="47">
        <v>90</v>
      </c>
      <c r="G13" s="47">
        <v>61</v>
      </c>
      <c r="H13" s="47">
        <v>6</v>
      </c>
      <c r="I13" s="47">
        <v>13</v>
      </c>
      <c r="J13" s="47">
        <v>5</v>
      </c>
      <c r="K13" s="47">
        <v>6</v>
      </c>
      <c r="L13" s="47">
        <v>4</v>
      </c>
      <c r="M13" s="47">
        <v>13</v>
      </c>
      <c r="N13" s="47">
        <v>3</v>
      </c>
      <c r="O13" s="50">
        <v>537</v>
      </c>
      <c r="P13" s="46"/>
    </row>
    <row r="14" spans="1:75">
      <c r="A14" s="46"/>
      <c r="B14" s="46">
        <v>1985</v>
      </c>
      <c r="C14" s="47">
        <v>180</v>
      </c>
      <c r="D14" s="47">
        <v>65</v>
      </c>
      <c r="E14" s="47">
        <v>81</v>
      </c>
      <c r="F14" s="47">
        <v>105</v>
      </c>
      <c r="G14" s="47">
        <v>44</v>
      </c>
      <c r="H14" s="47">
        <v>1</v>
      </c>
      <c r="I14" s="47">
        <v>19</v>
      </c>
      <c r="J14" s="47">
        <v>11</v>
      </c>
      <c r="K14" s="47">
        <v>12</v>
      </c>
      <c r="L14" s="47">
        <v>1</v>
      </c>
      <c r="M14" s="47">
        <v>13</v>
      </c>
      <c r="N14" s="47">
        <v>4</v>
      </c>
      <c r="O14" s="50">
        <v>536</v>
      </c>
      <c r="P14" s="46"/>
    </row>
    <row r="15" spans="1:75">
      <c r="A15" s="46"/>
      <c r="B15" s="46">
        <v>1986</v>
      </c>
      <c r="C15" s="47">
        <v>220</v>
      </c>
      <c r="D15" s="47">
        <v>66</v>
      </c>
      <c r="E15" s="47">
        <v>69</v>
      </c>
      <c r="F15" s="47">
        <v>113</v>
      </c>
      <c r="G15" s="47">
        <v>47</v>
      </c>
      <c r="H15" s="47">
        <v>0</v>
      </c>
      <c r="I15" s="47">
        <v>22</v>
      </c>
      <c r="J15" s="47">
        <v>6</v>
      </c>
      <c r="K15" s="47">
        <v>1</v>
      </c>
      <c r="L15" s="47">
        <v>7</v>
      </c>
      <c r="M15" s="47">
        <v>11</v>
      </c>
      <c r="N15" s="47">
        <v>1</v>
      </c>
      <c r="O15" s="50">
        <v>563</v>
      </c>
      <c r="P15" s="46"/>
    </row>
    <row r="16" spans="1:75" ht="6" customHeight="1">
      <c r="A16" s="46"/>
      <c r="B16" s="46"/>
      <c r="C16" s="47"/>
      <c r="D16" s="47"/>
      <c r="E16" s="47"/>
      <c r="F16" s="47"/>
      <c r="G16" s="47"/>
      <c r="H16" s="47"/>
      <c r="I16" s="47"/>
      <c r="J16" s="47"/>
      <c r="K16" s="47"/>
      <c r="L16" s="47"/>
      <c r="M16" s="47"/>
      <c r="N16" s="47"/>
      <c r="O16" s="50"/>
      <c r="P16" s="46"/>
    </row>
    <row r="17" spans="1:75" s="9" customFormat="1">
      <c r="A17" s="46"/>
      <c r="B17" s="46">
        <v>1987</v>
      </c>
      <c r="C17" s="47">
        <v>200</v>
      </c>
      <c r="D17" s="47">
        <v>80</v>
      </c>
      <c r="E17" s="47">
        <v>85</v>
      </c>
      <c r="F17" s="47">
        <v>93</v>
      </c>
      <c r="G17" s="47">
        <v>78</v>
      </c>
      <c r="H17" s="47">
        <v>1</v>
      </c>
      <c r="I17" s="47">
        <v>17</v>
      </c>
      <c r="J17" s="47">
        <v>5</v>
      </c>
      <c r="K17" s="47">
        <v>11</v>
      </c>
      <c r="L17" s="47">
        <v>11</v>
      </c>
      <c r="M17" s="47">
        <v>15</v>
      </c>
      <c r="N17" s="47">
        <v>3</v>
      </c>
      <c r="O17" s="50">
        <v>599</v>
      </c>
      <c r="P17" s="4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row>
    <row r="18" spans="1:75" s="9" customFormat="1">
      <c r="A18" s="46"/>
      <c r="B18" s="46">
        <v>1988</v>
      </c>
      <c r="C18" s="47">
        <v>189</v>
      </c>
      <c r="D18" s="47">
        <v>48</v>
      </c>
      <c r="E18" s="47">
        <v>110</v>
      </c>
      <c r="F18" s="47">
        <v>99</v>
      </c>
      <c r="G18" s="47">
        <v>42</v>
      </c>
      <c r="H18" s="47">
        <v>2</v>
      </c>
      <c r="I18" s="47">
        <v>20</v>
      </c>
      <c r="J18" s="47">
        <v>6</v>
      </c>
      <c r="K18" s="47">
        <v>9</v>
      </c>
      <c r="L18" s="47">
        <v>8</v>
      </c>
      <c r="M18" s="47">
        <v>12</v>
      </c>
      <c r="N18" s="47">
        <v>2</v>
      </c>
      <c r="O18" s="50">
        <v>547</v>
      </c>
      <c r="P18" s="4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row>
    <row r="19" spans="1:75" s="9" customFormat="1">
      <c r="A19" s="46"/>
      <c r="B19" s="46">
        <v>1989</v>
      </c>
      <c r="C19" s="47">
        <v>182</v>
      </c>
      <c r="D19" s="47">
        <v>63</v>
      </c>
      <c r="E19" s="47">
        <v>80</v>
      </c>
      <c r="F19" s="47">
        <v>88</v>
      </c>
      <c r="G19" s="47">
        <v>38</v>
      </c>
      <c r="H19" s="47">
        <v>11</v>
      </c>
      <c r="I19" s="47">
        <v>29</v>
      </c>
      <c r="J19" s="47">
        <v>11</v>
      </c>
      <c r="K19" s="47">
        <v>4</v>
      </c>
      <c r="L19" s="47">
        <v>7</v>
      </c>
      <c r="M19" s="47">
        <v>7</v>
      </c>
      <c r="N19" s="47">
        <v>1</v>
      </c>
      <c r="O19" s="50">
        <v>521</v>
      </c>
      <c r="P19" s="4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row>
    <row r="20" spans="1:75" s="9" customFormat="1">
      <c r="A20" s="46"/>
      <c r="B20" s="46">
        <v>1990</v>
      </c>
      <c r="C20" s="47">
        <v>178</v>
      </c>
      <c r="D20" s="47">
        <v>74</v>
      </c>
      <c r="E20" s="47">
        <v>94</v>
      </c>
      <c r="F20" s="47">
        <v>81</v>
      </c>
      <c r="G20" s="47">
        <v>59</v>
      </c>
      <c r="H20" s="47">
        <v>2</v>
      </c>
      <c r="I20" s="47">
        <v>28</v>
      </c>
      <c r="J20" s="47">
        <v>4</v>
      </c>
      <c r="K20" s="47">
        <v>9</v>
      </c>
      <c r="L20" s="47">
        <v>12</v>
      </c>
      <c r="M20" s="47">
        <v>7</v>
      </c>
      <c r="N20" s="47">
        <v>7</v>
      </c>
      <c r="O20" s="50">
        <v>555</v>
      </c>
      <c r="P20" s="4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row>
    <row r="21" spans="1:75" s="9" customFormat="1">
      <c r="A21" s="46"/>
      <c r="B21" s="46">
        <v>1991</v>
      </c>
      <c r="C21" s="47">
        <v>217</v>
      </c>
      <c r="D21" s="47">
        <v>62</v>
      </c>
      <c r="E21" s="47">
        <v>116</v>
      </c>
      <c r="F21" s="47">
        <v>94</v>
      </c>
      <c r="G21" s="47">
        <v>50</v>
      </c>
      <c r="H21" s="47">
        <v>1</v>
      </c>
      <c r="I21" s="47">
        <v>33</v>
      </c>
      <c r="J21" s="47">
        <v>8</v>
      </c>
      <c r="K21" s="47">
        <v>19</v>
      </c>
      <c r="L21" s="47">
        <v>13</v>
      </c>
      <c r="M21" s="47">
        <v>8</v>
      </c>
      <c r="N21" s="47">
        <v>2</v>
      </c>
      <c r="O21" s="50">
        <v>623</v>
      </c>
      <c r="P21" s="4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row>
    <row r="22" spans="1:75" s="9" customFormat="1" ht="6" customHeight="1">
      <c r="A22" s="46"/>
      <c r="B22" s="46"/>
      <c r="C22" s="47"/>
      <c r="D22" s="47"/>
      <c r="E22" s="47"/>
      <c r="F22" s="47"/>
      <c r="G22" s="47"/>
      <c r="H22" s="47"/>
      <c r="I22" s="47"/>
      <c r="J22" s="47"/>
      <c r="K22" s="47"/>
      <c r="L22" s="47"/>
      <c r="M22" s="47"/>
      <c r="N22" s="47"/>
      <c r="O22" s="50"/>
      <c r="P22" s="4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row>
    <row r="23" spans="1:75">
      <c r="A23" s="46"/>
      <c r="B23" s="46">
        <v>1992</v>
      </c>
      <c r="C23" s="47">
        <v>218</v>
      </c>
      <c r="D23" s="47">
        <v>50</v>
      </c>
      <c r="E23" s="47">
        <v>117</v>
      </c>
      <c r="F23" s="47">
        <v>79</v>
      </c>
      <c r="G23" s="47">
        <v>52</v>
      </c>
      <c r="H23" s="47">
        <v>4</v>
      </c>
      <c r="I23" s="47">
        <v>21</v>
      </c>
      <c r="J23" s="47">
        <v>14</v>
      </c>
      <c r="K23" s="47">
        <v>11</v>
      </c>
      <c r="L23" s="47">
        <v>9</v>
      </c>
      <c r="M23" s="47">
        <v>4</v>
      </c>
      <c r="N23" s="47">
        <v>2</v>
      </c>
      <c r="O23" s="50">
        <v>581</v>
      </c>
      <c r="P23" s="46"/>
    </row>
    <row r="24" spans="1:75">
      <c r="A24" s="46"/>
      <c r="B24" s="46">
        <v>1993</v>
      </c>
      <c r="C24" s="47">
        <v>182</v>
      </c>
      <c r="D24" s="47">
        <v>66</v>
      </c>
      <c r="E24" s="47">
        <v>97</v>
      </c>
      <c r="F24" s="47">
        <v>89</v>
      </c>
      <c r="G24" s="47">
        <v>71</v>
      </c>
      <c r="H24" s="47">
        <v>3</v>
      </c>
      <c r="I24" s="47">
        <v>14</v>
      </c>
      <c r="J24" s="47">
        <v>6</v>
      </c>
      <c r="K24" s="47">
        <v>9</v>
      </c>
      <c r="L24" s="47">
        <v>9</v>
      </c>
      <c r="M24" s="47">
        <v>14</v>
      </c>
      <c r="N24" s="47">
        <v>5</v>
      </c>
      <c r="O24" s="50">
        <v>565</v>
      </c>
      <c r="P24" s="46"/>
    </row>
    <row r="25" spans="1:75">
      <c r="A25" s="46"/>
      <c r="B25" s="46">
        <v>1994</v>
      </c>
      <c r="C25" s="47">
        <v>231</v>
      </c>
      <c r="D25" s="47">
        <v>55</v>
      </c>
      <c r="E25" s="47">
        <v>94</v>
      </c>
      <c r="F25" s="47">
        <v>104</v>
      </c>
      <c r="G25" s="47">
        <v>63</v>
      </c>
      <c r="H25" s="47">
        <v>0</v>
      </c>
      <c r="I25" s="47">
        <v>39</v>
      </c>
      <c r="J25" s="47">
        <v>13</v>
      </c>
      <c r="K25" s="47">
        <v>17</v>
      </c>
      <c r="L25" s="47">
        <v>5</v>
      </c>
      <c r="M25" s="47">
        <v>4</v>
      </c>
      <c r="N25" s="47">
        <v>7</v>
      </c>
      <c r="O25" s="50">
        <v>632</v>
      </c>
      <c r="P25" s="46"/>
    </row>
    <row r="26" spans="1:75">
      <c r="A26" s="46"/>
      <c r="B26" s="46">
        <v>1995</v>
      </c>
      <c r="C26" s="47">
        <v>243</v>
      </c>
      <c r="D26" s="47">
        <v>78</v>
      </c>
      <c r="E26" s="47">
        <v>105</v>
      </c>
      <c r="F26" s="47">
        <v>83</v>
      </c>
      <c r="G26" s="47">
        <v>66</v>
      </c>
      <c r="H26" s="47">
        <v>1</v>
      </c>
      <c r="I26" s="47">
        <v>33</v>
      </c>
      <c r="J26" s="47">
        <v>3</v>
      </c>
      <c r="K26" s="47">
        <v>16</v>
      </c>
      <c r="L26" s="47">
        <v>6</v>
      </c>
      <c r="M26" s="47">
        <v>19</v>
      </c>
      <c r="N26" s="47">
        <v>9</v>
      </c>
      <c r="O26" s="50">
        <v>662</v>
      </c>
      <c r="P26" s="46"/>
    </row>
    <row r="27" spans="1:75">
      <c r="A27" s="46"/>
      <c r="B27" s="51">
        <v>1996</v>
      </c>
      <c r="C27" s="47">
        <v>197</v>
      </c>
      <c r="D27" s="47">
        <v>68</v>
      </c>
      <c r="E27" s="47">
        <v>81</v>
      </c>
      <c r="F27" s="47">
        <v>77</v>
      </c>
      <c r="G27" s="47">
        <v>47</v>
      </c>
      <c r="H27" s="47">
        <v>2</v>
      </c>
      <c r="I27" s="47">
        <v>24</v>
      </c>
      <c r="J27" s="47">
        <v>9</v>
      </c>
      <c r="K27" s="47">
        <v>28</v>
      </c>
      <c r="L27" s="47">
        <v>2</v>
      </c>
      <c r="M27" s="47">
        <v>45</v>
      </c>
      <c r="N27" s="47">
        <v>6</v>
      </c>
      <c r="O27" s="50">
        <v>586</v>
      </c>
      <c r="P27" s="46"/>
    </row>
    <row r="28" spans="1:75" ht="6" customHeight="1">
      <c r="A28" s="46"/>
      <c r="B28" s="51"/>
      <c r="C28" s="47"/>
      <c r="D28" s="47"/>
      <c r="E28" s="47"/>
      <c r="F28" s="47"/>
      <c r="G28" s="47"/>
      <c r="H28" s="47"/>
      <c r="I28" s="47"/>
      <c r="J28" s="47"/>
      <c r="K28" s="47"/>
      <c r="L28" s="47"/>
      <c r="M28" s="47"/>
      <c r="N28" s="47"/>
      <c r="O28" s="50"/>
      <c r="P28" s="46"/>
    </row>
    <row r="29" spans="1:75" s="9" customFormat="1">
      <c r="A29" s="46"/>
      <c r="B29" s="49">
        <v>1997</v>
      </c>
      <c r="C29" s="47">
        <v>200</v>
      </c>
      <c r="D29" s="47">
        <v>71</v>
      </c>
      <c r="E29" s="47">
        <v>99</v>
      </c>
      <c r="F29" s="47">
        <v>64</v>
      </c>
      <c r="G29" s="47">
        <v>58</v>
      </c>
      <c r="H29" s="47">
        <v>1</v>
      </c>
      <c r="I29" s="47">
        <v>29</v>
      </c>
      <c r="J29" s="47">
        <v>7</v>
      </c>
      <c r="K29" s="47">
        <v>17</v>
      </c>
      <c r="L29" s="47">
        <v>12</v>
      </c>
      <c r="M29" s="47">
        <v>37</v>
      </c>
      <c r="N29" s="47">
        <v>14</v>
      </c>
      <c r="O29" s="50">
        <v>609</v>
      </c>
      <c r="P29" s="4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row>
    <row r="30" spans="1:75" s="9" customFormat="1">
      <c r="A30" s="46"/>
      <c r="B30" s="49" t="s">
        <v>68</v>
      </c>
      <c r="C30" s="47">
        <v>202</v>
      </c>
      <c r="D30" s="47">
        <v>68</v>
      </c>
      <c r="E30" s="47">
        <v>103</v>
      </c>
      <c r="F30" s="47">
        <v>62</v>
      </c>
      <c r="G30" s="47">
        <v>52</v>
      </c>
      <c r="H30" s="47">
        <v>1</v>
      </c>
      <c r="I30" s="47">
        <v>28</v>
      </c>
      <c r="J30" s="47">
        <v>6</v>
      </c>
      <c r="K30" s="47">
        <v>17</v>
      </c>
      <c r="L30" s="47">
        <v>13</v>
      </c>
      <c r="M30" s="47">
        <v>38</v>
      </c>
      <c r="N30" s="47">
        <v>19</v>
      </c>
      <c r="O30" s="50">
        <v>609</v>
      </c>
      <c r="P30" s="4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row>
    <row r="31" spans="1:75" s="9" customFormat="1">
      <c r="A31" s="46"/>
      <c r="B31" s="49" t="s">
        <v>69</v>
      </c>
      <c r="C31" s="47">
        <v>201</v>
      </c>
      <c r="D31" s="47">
        <v>65</v>
      </c>
      <c r="E31" s="47">
        <v>88</v>
      </c>
      <c r="F31" s="47">
        <v>76</v>
      </c>
      <c r="G31" s="47">
        <v>46</v>
      </c>
      <c r="H31" s="47">
        <v>2</v>
      </c>
      <c r="I31" s="47">
        <v>32</v>
      </c>
      <c r="J31" s="47">
        <v>6</v>
      </c>
      <c r="K31" s="47">
        <v>47</v>
      </c>
      <c r="L31" s="47">
        <v>13</v>
      </c>
      <c r="M31" s="47">
        <v>43</v>
      </c>
      <c r="N31" s="47">
        <v>23</v>
      </c>
      <c r="O31" s="50">
        <v>642</v>
      </c>
      <c r="P31" s="4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row>
    <row r="32" spans="1:75" s="9" customFormat="1">
      <c r="A32" s="46"/>
      <c r="B32" s="49" t="s">
        <v>70</v>
      </c>
      <c r="C32" s="47">
        <v>212</v>
      </c>
      <c r="D32" s="47">
        <v>70</v>
      </c>
      <c r="E32" s="47">
        <v>97</v>
      </c>
      <c r="F32" s="47">
        <v>56</v>
      </c>
      <c r="G32" s="47">
        <v>61</v>
      </c>
      <c r="H32" s="47">
        <v>4</v>
      </c>
      <c r="I32" s="47">
        <v>11</v>
      </c>
      <c r="J32" s="47">
        <v>6</v>
      </c>
      <c r="K32" s="47">
        <v>53</v>
      </c>
      <c r="L32" s="47">
        <v>11</v>
      </c>
      <c r="M32" s="47">
        <v>40</v>
      </c>
      <c r="N32" s="47">
        <v>51</v>
      </c>
      <c r="O32" s="50">
        <v>672</v>
      </c>
      <c r="P32" s="4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row>
    <row r="33" spans="1:75" s="9" customFormat="1">
      <c r="A33" s="46"/>
      <c r="B33" s="51" t="s">
        <v>71</v>
      </c>
      <c r="C33" s="47">
        <v>213</v>
      </c>
      <c r="D33" s="47">
        <v>77</v>
      </c>
      <c r="E33" s="47">
        <v>102</v>
      </c>
      <c r="F33" s="47">
        <v>146</v>
      </c>
      <c r="G33" s="47">
        <v>71</v>
      </c>
      <c r="H33" s="47">
        <v>2</v>
      </c>
      <c r="I33" s="47">
        <v>17</v>
      </c>
      <c r="J33" s="47">
        <v>9</v>
      </c>
      <c r="K33" s="47">
        <v>34</v>
      </c>
      <c r="L33" s="47">
        <v>16</v>
      </c>
      <c r="M33" s="47">
        <v>63</v>
      </c>
      <c r="N33" s="47">
        <v>14</v>
      </c>
      <c r="O33" s="50">
        <v>764</v>
      </c>
      <c r="P33" s="4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row>
    <row r="34" spans="1:75" s="9" customFormat="1" ht="6" customHeight="1">
      <c r="A34" s="46"/>
      <c r="B34" s="51"/>
      <c r="C34" s="47"/>
      <c r="D34" s="47"/>
      <c r="E34" s="47"/>
      <c r="F34" s="47"/>
      <c r="G34" s="47"/>
      <c r="H34" s="47"/>
      <c r="I34" s="47"/>
      <c r="J34" s="47"/>
      <c r="K34" s="47"/>
      <c r="L34" s="47"/>
      <c r="M34" s="47"/>
      <c r="N34" s="47"/>
      <c r="O34" s="50"/>
      <c r="P34" s="4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row>
    <row r="35" spans="1:75">
      <c r="A35" s="46"/>
      <c r="B35" s="51" t="s">
        <v>72</v>
      </c>
      <c r="C35" s="47">
        <v>261</v>
      </c>
      <c r="D35" s="47">
        <v>60</v>
      </c>
      <c r="E35" s="47">
        <v>145</v>
      </c>
      <c r="F35" s="47">
        <v>78</v>
      </c>
      <c r="G35" s="47">
        <v>96</v>
      </c>
      <c r="H35" s="47">
        <v>1</v>
      </c>
      <c r="I35" s="47">
        <v>29</v>
      </c>
      <c r="J35" s="47">
        <v>13</v>
      </c>
      <c r="K35" s="47">
        <v>31</v>
      </c>
      <c r="L35" s="47">
        <v>19</v>
      </c>
      <c r="M35" s="47">
        <v>35</v>
      </c>
      <c r="N35" s="47">
        <v>25</v>
      </c>
      <c r="O35" s="50">
        <v>793</v>
      </c>
      <c r="P35" s="46"/>
    </row>
    <row r="36" spans="1:75">
      <c r="A36" s="46"/>
      <c r="B36" s="46" t="s">
        <v>73</v>
      </c>
      <c r="C36" s="47">
        <v>263</v>
      </c>
      <c r="D36" s="47">
        <v>48</v>
      </c>
      <c r="E36" s="47">
        <v>148</v>
      </c>
      <c r="F36" s="47">
        <v>66</v>
      </c>
      <c r="G36" s="47">
        <v>77</v>
      </c>
      <c r="H36" s="47">
        <v>2</v>
      </c>
      <c r="I36" s="47">
        <v>22</v>
      </c>
      <c r="J36" s="47">
        <v>6</v>
      </c>
      <c r="K36" s="47">
        <v>200</v>
      </c>
      <c r="L36" s="47">
        <v>21</v>
      </c>
      <c r="M36" s="47">
        <v>48</v>
      </c>
      <c r="N36" s="47">
        <v>41</v>
      </c>
      <c r="O36" s="50">
        <v>942</v>
      </c>
      <c r="P36" s="46"/>
    </row>
    <row r="37" spans="1:75">
      <c r="A37" s="46"/>
      <c r="B37" s="51" t="s">
        <v>74</v>
      </c>
      <c r="C37" s="47">
        <v>242</v>
      </c>
      <c r="D37" s="47">
        <v>75</v>
      </c>
      <c r="E37" s="47">
        <v>136</v>
      </c>
      <c r="F37" s="47">
        <v>67</v>
      </c>
      <c r="G37" s="47">
        <v>67</v>
      </c>
      <c r="H37" s="47">
        <v>0</v>
      </c>
      <c r="I37" s="47">
        <v>28</v>
      </c>
      <c r="J37" s="47">
        <v>24</v>
      </c>
      <c r="K37" s="47">
        <v>20</v>
      </c>
      <c r="L37" s="47">
        <v>21</v>
      </c>
      <c r="M37" s="47">
        <v>35</v>
      </c>
      <c r="N37" s="47">
        <v>57</v>
      </c>
      <c r="O37" s="50">
        <v>772</v>
      </c>
      <c r="P37" s="46"/>
    </row>
    <row r="38" spans="1:75">
      <c r="A38" s="46"/>
      <c r="B38" s="51" t="s">
        <v>75</v>
      </c>
      <c r="C38" s="47">
        <v>262</v>
      </c>
      <c r="D38" s="47">
        <v>67</v>
      </c>
      <c r="E38" s="47">
        <v>125</v>
      </c>
      <c r="F38" s="47">
        <v>66</v>
      </c>
      <c r="G38" s="47">
        <v>73</v>
      </c>
      <c r="H38" s="47">
        <v>2</v>
      </c>
      <c r="I38" s="47">
        <v>34</v>
      </c>
      <c r="J38" s="47">
        <v>12</v>
      </c>
      <c r="K38" s="47">
        <v>28</v>
      </c>
      <c r="L38" s="47">
        <v>22</v>
      </c>
      <c r="M38" s="47">
        <v>43</v>
      </c>
      <c r="N38" s="47">
        <v>46</v>
      </c>
      <c r="O38" s="50">
        <v>779</v>
      </c>
      <c r="P38" s="46"/>
    </row>
    <row r="39" spans="1:75" s="10" customFormat="1">
      <c r="A39" s="46"/>
      <c r="B39" s="51" t="s">
        <v>76</v>
      </c>
      <c r="C39" s="47">
        <v>226</v>
      </c>
      <c r="D39" s="47">
        <v>59</v>
      </c>
      <c r="E39" s="47">
        <v>112</v>
      </c>
      <c r="F39" s="47">
        <v>58</v>
      </c>
      <c r="G39" s="47">
        <v>50</v>
      </c>
      <c r="H39" s="47">
        <v>53</v>
      </c>
      <c r="I39" s="47">
        <v>26</v>
      </c>
      <c r="J39" s="47">
        <v>4</v>
      </c>
      <c r="K39" s="47">
        <v>28</v>
      </c>
      <c r="L39" s="47">
        <v>12</v>
      </c>
      <c r="M39" s="47">
        <v>22</v>
      </c>
      <c r="N39" s="47">
        <v>58</v>
      </c>
      <c r="O39" s="50">
        <v>708</v>
      </c>
      <c r="P39" s="4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row>
    <row r="40" spans="1:75" s="10" customFormat="1" ht="6" customHeight="1">
      <c r="A40" s="46"/>
      <c r="B40" s="51"/>
      <c r="C40" s="47"/>
      <c r="D40" s="47"/>
      <c r="E40" s="47"/>
      <c r="F40" s="47"/>
      <c r="G40" s="47"/>
      <c r="H40" s="47"/>
      <c r="I40" s="47"/>
      <c r="J40" s="47"/>
      <c r="K40" s="47"/>
      <c r="L40" s="47"/>
      <c r="M40" s="47"/>
      <c r="N40" s="47"/>
      <c r="O40" s="50"/>
      <c r="P40" s="4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row>
    <row r="41" spans="1:75" s="9" customFormat="1">
      <c r="A41" s="46"/>
      <c r="B41" s="51" t="s">
        <v>77</v>
      </c>
      <c r="C41" s="47">
        <v>272</v>
      </c>
      <c r="D41" s="47">
        <v>51</v>
      </c>
      <c r="E41" s="47">
        <v>128</v>
      </c>
      <c r="F41" s="47">
        <v>56</v>
      </c>
      <c r="G41" s="47">
        <v>58</v>
      </c>
      <c r="H41" s="47">
        <v>0</v>
      </c>
      <c r="I41" s="47">
        <v>29</v>
      </c>
      <c r="J41" s="47">
        <v>9</v>
      </c>
      <c r="K41" s="47">
        <v>19</v>
      </c>
      <c r="L41" s="47">
        <v>6</v>
      </c>
      <c r="M41" s="47">
        <v>36</v>
      </c>
      <c r="N41" s="47">
        <v>46</v>
      </c>
      <c r="O41" s="50">
        <v>710</v>
      </c>
      <c r="P41" s="4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row>
    <row r="42" spans="1:75" s="9" customFormat="1">
      <c r="A42" s="46"/>
      <c r="B42" s="51" t="s">
        <v>78</v>
      </c>
      <c r="C42" s="47">
        <v>268</v>
      </c>
      <c r="D42" s="47">
        <v>67</v>
      </c>
      <c r="E42" s="47">
        <v>161</v>
      </c>
      <c r="F42" s="47">
        <v>57</v>
      </c>
      <c r="G42" s="47">
        <v>53</v>
      </c>
      <c r="H42" s="47">
        <v>0</v>
      </c>
      <c r="I42" s="47">
        <v>26</v>
      </c>
      <c r="J42" s="47">
        <v>5</v>
      </c>
      <c r="K42" s="47">
        <v>19</v>
      </c>
      <c r="L42" s="47">
        <v>12</v>
      </c>
      <c r="M42" s="47">
        <v>37</v>
      </c>
      <c r="N42" s="47">
        <v>24</v>
      </c>
      <c r="O42" s="50">
        <v>729</v>
      </c>
      <c r="P42" s="4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row>
    <row r="43" spans="1:75" s="9" customFormat="1">
      <c r="A43" s="46"/>
      <c r="B43" s="51" t="s">
        <v>49</v>
      </c>
      <c r="C43" s="47">
        <v>256</v>
      </c>
      <c r="D43" s="47">
        <v>59</v>
      </c>
      <c r="E43" s="47">
        <v>149</v>
      </c>
      <c r="F43" s="47">
        <v>45</v>
      </c>
      <c r="G43" s="47">
        <v>39</v>
      </c>
      <c r="H43" s="47">
        <v>2</v>
      </c>
      <c r="I43" s="47">
        <v>21</v>
      </c>
      <c r="J43" s="47">
        <v>4</v>
      </c>
      <c r="K43" s="47">
        <v>17</v>
      </c>
      <c r="L43" s="47">
        <v>10</v>
      </c>
      <c r="M43" s="47">
        <v>26</v>
      </c>
      <c r="N43" s="47">
        <v>11</v>
      </c>
      <c r="O43" s="50">
        <v>639</v>
      </c>
      <c r="P43" s="4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row>
    <row r="44" spans="1:75" s="9" customFormat="1">
      <c r="A44" s="46"/>
      <c r="B44" s="51" t="s">
        <v>50</v>
      </c>
      <c r="C44" s="47">
        <v>210</v>
      </c>
      <c r="D44" s="47">
        <v>49</v>
      </c>
      <c r="E44" s="47">
        <v>126</v>
      </c>
      <c r="F44" s="47">
        <v>53</v>
      </c>
      <c r="G44" s="47">
        <v>41</v>
      </c>
      <c r="H44" s="47">
        <v>0</v>
      </c>
      <c r="I44" s="47">
        <v>21</v>
      </c>
      <c r="J44" s="47">
        <v>3</v>
      </c>
      <c r="K44" s="47">
        <v>15</v>
      </c>
      <c r="L44" s="47">
        <v>18</v>
      </c>
      <c r="M44" s="47">
        <v>33</v>
      </c>
      <c r="N44" s="47">
        <v>26</v>
      </c>
      <c r="O44" s="50">
        <v>595</v>
      </c>
      <c r="P44" s="4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row>
    <row r="45" spans="1:75" s="9" customFormat="1">
      <c r="A45" s="46"/>
      <c r="B45" s="46" t="s">
        <v>15</v>
      </c>
      <c r="C45" s="47">
        <v>236</v>
      </c>
      <c r="D45" s="47">
        <v>61</v>
      </c>
      <c r="E45" s="47">
        <v>117</v>
      </c>
      <c r="F45" s="47">
        <v>61</v>
      </c>
      <c r="G45" s="47">
        <v>61</v>
      </c>
      <c r="H45" s="47">
        <v>0</v>
      </c>
      <c r="I45" s="47">
        <v>21</v>
      </c>
      <c r="J45" s="47">
        <v>6</v>
      </c>
      <c r="K45" s="47">
        <v>20</v>
      </c>
      <c r="L45" s="47">
        <v>7</v>
      </c>
      <c r="M45" s="47">
        <v>25</v>
      </c>
      <c r="N45" s="47">
        <v>17</v>
      </c>
      <c r="O45" s="50">
        <v>632</v>
      </c>
      <c r="P45" s="4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row>
    <row r="46" spans="1:75" s="9" customFormat="1" ht="6" customHeight="1">
      <c r="A46" s="46"/>
      <c r="B46" s="46"/>
      <c r="C46" s="47"/>
      <c r="D46" s="47"/>
      <c r="E46" s="47"/>
      <c r="F46" s="47"/>
      <c r="G46" s="47"/>
      <c r="H46" s="47"/>
      <c r="I46" s="47"/>
      <c r="J46" s="47"/>
      <c r="K46" s="47"/>
      <c r="L46" s="47"/>
      <c r="M46" s="47"/>
      <c r="N46" s="47"/>
      <c r="O46" s="50"/>
      <c r="P46" s="4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row>
    <row r="47" spans="1:75">
      <c r="A47" s="46"/>
      <c r="B47" s="46" t="s">
        <v>16</v>
      </c>
      <c r="C47" s="47">
        <v>208</v>
      </c>
      <c r="D47" s="47">
        <v>51</v>
      </c>
      <c r="E47" s="47">
        <v>89</v>
      </c>
      <c r="F47" s="47">
        <v>60</v>
      </c>
      <c r="G47" s="47">
        <v>40</v>
      </c>
      <c r="H47" s="47">
        <v>1</v>
      </c>
      <c r="I47" s="47">
        <v>17</v>
      </c>
      <c r="J47" s="47">
        <v>4</v>
      </c>
      <c r="K47" s="47">
        <v>8</v>
      </c>
      <c r="L47" s="47">
        <v>5</v>
      </c>
      <c r="M47" s="47">
        <v>25</v>
      </c>
      <c r="N47" s="47">
        <v>17</v>
      </c>
      <c r="O47" s="50">
        <v>525</v>
      </c>
      <c r="P47" s="46"/>
    </row>
    <row r="48" spans="1:75">
      <c r="A48" s="46"/>
      <c r="B48" s="46" t="s">
        <v>17</v>
      </c>
      <c r="C48" s="47">
        <v>195</v>
      </c>
      <c r="D48" s="47">
        <v>49</v>
      </c>
      <c r="E48" s="47">
        <v>106</v>
      </c>
      <c r="F48" s="47">
        <v>41</v>
      </c>
      <c r="G48" s="47">
        <v>29</v>
      </c>
      <c r="H48" s="47">
        <v>2</v>
      </c>
      <c r="I48" s="47">
        <v>26</v>
      </c>
      <c r="J48" s="47">
        <v>7</v>
      </c>
      <c r="K48" s="47">
        <v>8</v>
      </c>
      <c r="L48" s="47">
        <v>6</v>
      </c>
      <c r="M48" s="47">
        <v>40</v>
      </c>
      <c r="N48" s="47">
        <v>34</v>
      </c>
      <c r="O48" s="50">
        <v>543</v>
      </c>
      <c r="P48" s="46"/>
    </row>
    <row r="49" spans="1:33">
      <c r="A49" s="46"/>
      <c r="B49" s="46" t="s">
        <v>18</v>
      </c>
      <c r="C49" s="47">
        <v>203</v>
      </c>
      <c r="D49" s="47">
        <v>37</v>
      </c>
      <c r="E49" s="47">
        <v>104</v>
      </c>
      <c r="F49" s="47">
        <v>53</v>
      </c>
      <c r="G49" s="47">
        <v>29</v>
      </c>
      <c r="H49" s="47">
        <v>1</v>
      </c>
      <c r="I49" s="47">
        <v>17</v>
      </c>
      <c r="J49" s="47">
        <v>4</v>
      </c>
      <c r="K49" s="47">
        <v>14</v>
      </c>
      <c r="L49" s="47">
        <v>9</v>
      </c>
      <c r="M49" s="47">
        <v>32</v>
      </c>
      <c r="N49" s="47">
        <v>18</v>
      </c>
      <c r="O49" s="50">
        <v>521</v>
      </c>
      <c r="P49" s="46"/>
    </row>
    <row r="50" spans="1:33">
      <c r="A50" s="46"/>
      <c r="B50" s="46" t="s">
        <v>19</v>
      </c>
      <c r="C50" s="47">
        <v>186</v>
      </c>
      <c r="D50" s="47">
        <v>41</v>
      </c>
      <c r="E50" s="47">
        <v>92</v>
      </c>
      <c r="F50" s="47">
        <v>52</v>
      </c>
      <c r="G50" s="47">
        <v>20</v>
      </c>
      <c r="H50" s="47">
        <v>0</v>
      </c>
      <c r="I50" s="47">
        <v>9</v>
      </c>
      <c r="J50" s="47">
        <v>3</v>
      </c>
      <c r="K50" s="47">
        <v>25</v>
      </c>
      <c r="L50" s="47">
        <v>8</v>
      </c>
      <c r="M50" s="47">
        <v>41</v>
      </c>
      <c r="N50" s="47">
        <v>27</v>
      </c>
      <c r="O50" s="50">
        <v>504</v>
      </c>
      <c r="P50" s="46"/>
    </row>
    <row r="51" spans="1:33">
      <c r="A51" s="46"/>
      <c r="B51" s="46" t="s">
        <v>20</v>
      </c>
      <c r="C51" s="47">
        <v>209</v>
      </c>
      <c r="D51" s="47">
        <v>46</v>
      </c>
      <c r="E51" s="47">
        <v>103</v>
      </c>
      <c r="F51" s="47">
        <v>47</v>
      </c>
      <c r="G51" s="47">
        <v>25</v>
      </c>
      <c r="H51" s="47">
        <v>0</v>
      </c>
      <c r="I51" s="47">
        <v>13</v>
      </c>
      <c r="J51" s="47">
        <v>6</v>
      </c>
      <c r="K51" s="47">
        <v>16</v>
      </c>
      <c r="L51" s="47">
        <v>8</v>
      </c>
      <c r="M51" s="47">
        <v>36</v>
      </c>
      <c r="N51" s="47">
        <v>30</v>
      </c>
      <c r="O51" s="50">
        <v>539</v>
      </c>
      <c r="P51" s="46"/>
    </row>
    <row r="52" spans="1:33" ht="6" customHeight="1">
      <c r="A52" s="46"/>
      <c r="B52" s="46"/>
      <c r="C52" s="47"/>
      <c r="D52" s="47"/>
      <c r="E52" s="47"/>
      <c r="F52" s="47"/>
      <c r="G52" s="47"/>
      <c r="H52" s="47"/>
      <c r="I52" s="47"/>
      <c r="J52" s="47"/>
      <c r="K52" s="47"/>
      <c r="L52" s="47"/>
      <c r="M52" s="47"/>
      <c r="N52" s="47"/>
      <c r="O52" s="50"/>
      <c r="P52" s="46"/>
    </row>
    <row r="53" spans="1:33">
      <c r="A53" s="46"/>
      <c r="B53" s="46" t="s">
        <v>21</v>
      </c>
      <c r="C53" s="47">
        <v>215</v>
      </c>
      <c r="D53" s="47">
        <v>51</v>
      </c>
      <c r="E53" s="47">
        <v>114</v>
      </c>
      <c r="F53" s="47">
        <v>136</v>
      </c>
      <c r="G53" s="47">
        <v>32</v>
      </c>
      <c r="H53" s="47">
        <v>2</v>
      </c>
      <c r="I53" s="47">
        <v>8</v>
      </c>
      <c r="J53" s="47">
        <v>6</v>
      </c>
      <c r="K53" s="47">
        <v>19</v>
      </c>
      <c r="L53" s="47">
        <v>23</v>
      </c>
      <c r="M53" s="47">
        <v>50</v>
      </c>
      <c r="N53" s="47">
        <v>32</v>
      </c>
      <c r="O53" s="50">
        <v>688</v>
      </c>
      <c r="P53" s="46"/>
    </row>
    <row r="54" spans="1:33">
      <c r="A54" s="46"/>
      <c r="B54" s="46" t="s">
        <v>22</v>
      </c>
      <c r="C54" s="47">
        <v>281</v>
      </c>
      <c r="D54" s="47">
        <v>37</v>
      </c>
      <c r="E54" s="47">
        <v>108</v>
      </c>
      <c r="F54" s="47">
        <v>52</v>
      </c>
      <c r="G54" s="47">
        <v>27</v>
      </c>
      <c r="H54" s="47">
        <v>34</v>
      </c>
      <c r="I54" s="47">
        <v>12</v>
      </c>
      <c r="J54" s="47">
        <v>4</v>
      </c>
      <c r="K54" s="47">
        <v>23</v>
      </c>
      <c r="L54" s="47">
        <v>17</v>
      </c>
      <c r="M54" s="47">
        <v>60</v>
      </c>
      <c r="N54" s="47">
        <v>42</v>
      </c>
      <c r="O54" s="50">
        <v>697</v>
      </c>
      <c r="P54" s="46"/>
      <c r="Q54" s="345"/>
    </row>
    <row r="55" spans="1:33">
      <c r="A55" s="46"/>
      <c r="B55" s="46" t="s">
        <v>23</v>
      </c>
      <c r="C55" s="47">
        <v>259</v>
      </c>
      <c r="D55" s="47">
        <v>37</v>
      </c>
      <c r="E55" s="47">
        <v>104</v>
      </c>
      <c r="F55" s="47">
        <v>55</v>
      </c>
      <c r="G55" s="47">
        <v>32</v>
      </c>
      <c r="H55" s="47">
        <v>2</v>
      </c>
      <c r="I55" s="47">
        <v>11</v>
      </c>
      <c r="J55" s="47">
        <v>5</v>
      </c>
      <c r="K55" s="47">
        <v>15</v>
      </c>
      <c r="L55" s="47">
        <v>9</v>
      </c>
      <c r="M55" s="47">
        <v>67</v>
      </c>
      <c r="N55" s="47">
        <v>45</v>
      </c>
      <c r="O55" s="50">
        <v>641</v>
      </c>
      <c r="P55" s="46"/>
      <c r="Q55" s="345"/>
    </row>
    <row r="56" spans="1:33">
      <c r="A56" s="46"/>
      <c r="B56" s="46" t="s">
        <v>24</v>
      </c>
      <c r="C56" s="47">
        <v>265</v>
      </c>
      <c r="D56" s="47">
        <v>47</v>
      </c>
      <c r="E56" s="47">
        <v>118</v>
      </c>
      <c r="F56" s="47">
        <v>78</v>
      </c>
      <c r="G56" s="47">
        <v>29</v>
      </c>
      <c r="H56" s="47">
        <v>0</v>
      </c>
      <c r="I56" s="47">
        <v>14</v>
      </c>
      <c r="J56" s="47">
        <v>4</v>
      </c>
      <c r="K56" s="47">
        <v>13</v>
      </c>
      <c r="L56" s="47">
        <v>22</v>
      </c>
      <c r="M56" s="47">
        <v>44</v>
      </c>
      <c r="N56" s="47">
        <v>42</v>
      </c>
      <c r="O56" s="50">
        <v>676</v>
      </c>
      <c r="P56" s="46"/>
      <c r="Q56" s="345"/>
    </row>
    <row r="57" spans="1:33">
      <c r="A57" s="46"/>
      <c r="B57" s="46" t="s">
        <v>25</v>
      </c>
      <c r="C57" s="47">
        <v>236</v>
      </c>
      <c r="D57" s="47">
        <v>32</v>
      </c>
      <c r="E57" s="47">
        <v>96</v>
      </c>
      <c r="F57" s="47">
        <v>27</v>
      </c>
      <c r="G57" s="47">
        <v>35</v>
      </c>
      <c r="H57" s="47">
        <v>0</v>
      </c>
      <c r="I57" s="47">
        <v>9</v>
      </c>
      <c r="J57" s="47">
        <v>11</v>
      </c>
      <c r="K57" s="47">
        <v>14</v>
      </c>
      <c r="L57" s="47">
        <v>17</v>
      </c>
      <c r="M57" s="47">
        <v>48</v>
      </c>
      <c r="N57" s="47">
        <v>30</v>
      </c>
      <c r="O57" s="50">
        <v>555</v>
      </c>
      <c r="P57" s="46"/>
      <c r="Q57" s="345"/>
    </row>
    <row r="58" spans="1:33">
      <c r="A58" s="46"/>
      <c r="B58" s="46" t="s">
        <v>26</v>
      </c>
      <c r="C58" s="47">
        <v>277</v>
      </c>
      <c r="D58" s="47">
        <v>36</v>
      </c>
      <c r="E58" s="47">
        <v>117</v>
      </c>
      <c r="F58" s="47">
        <v>51</v>
      </c>
      <c r="G58" s="47">
        <v>28</v>
      </c>
      <c r="H58" s="47">
        <v>1</v>
      </c>
      <c r="I58" s="47">
        <v>15</v>
      </c>
      <c r="J58" s="47">
        <v>10</v>
      </c>
      <c r="K58" s="47">
        <v>17</v>
      </c>
      <c r="L58" s="47">
        <v>16</v>
      </c>
      <c r="M58" s="47">
        <v>52</v>
      </c>
      <c r="N58" s="47">
        <v>58</v>
      </c>
      <c r="O58" s="50">
        <v>676</v>
      </c>
      <c r="P58" s="46"/>
      <c r="Q58" s="345"/>
      <c r="T58" s="11"/>
      <c r="U58" s="11"/>
      <c r="V58" s="11"/>
      <c r="W58" s="11"/>
      <c r="X58" s="11"/>
      <c r="Y58" s="11"/>
      <c r="Z58" s="11"/>
      <c r="AA58" s="11"/>
      <c r="AB58" s="11"/>
      <c r="AC58" s="11"/>
      <c r="AD58" s="11"/>
      <c r="AE58" s="11"/>
      <c r="AF58" s="11"/>
      <c r="AG58" s="11"/>
    </row>
    <row r="59" spans="1:33">
      <c r="A59" s="46"/>
      <c r="B59" s="46" t="s">
        <v>27</v>
      </c>
      <c r="C59" s="47">
        <v>243</v>
      </c>
      <c r="D59" s="47">
        <v>33</v>
      </c>
      <c r="E59" s="47">
        <v>113</v>
      </c>
      <c r="F59" s="47">
        <v>39</v>
      </c>
      <c r="G59" s="47">
        <v>29</v>
      </c>
      <c r="H59" s="47">
        <v>0</v>
      </c>
      <c r="I59" s="47">
        <v>8</v>
      </c>
      <c r="J59" s="47">
        <v>7</v>
      </c>
      <c r="K59" s="47">
        <v>9</v>
      </c>
      <c r="L59" s="47">
        <v>20</v>
      </c>
      <c r="M59" s="47">
        <v>34</v>
      </c>
      <c r="N59" s="47">
        <v>50</v>
      </c>
      <c r="O59" s="50">
        <v>585</v>
      </c>
      <c r="P59" s="46"/>
      <c r="Q59" s="345"/>
      <c r="T59" s="11"/>
      <c r="U59" s="11"/>
      <c r="V59" s="11"/>
      <c r="W59" s="11"/>
      <c r="X59" s="11"/>
      <c r="Y59" s="11"/>
      <c r="Z59" s="11"/>
      <c r="AA59" s="11"/>
      <c r="AB59" s="11"/>
      <c r="AC59" s="11"/>
      <c r="AD59" s="11"/>
      <c r="AE59" s="11"/>
      <c r="AF59" s="11"/>
      <c r="AG59" s="11"/>
    </row>
    <row r="60" spans="1:33">
      <c r="A60" s="46"/>
      <c r="B60" s="46" t="s">
        <v>30</v>
      </c>
      <c r="C60" s="47">
        <v>262</v>
      </c>
      <c r="D60" s="47">
        <v>30</v>
      </c>
      <c r="E60" s="47">
        <v>99</v>
      </c>
      <c r="F60" s="47">
        <v>32</v>
      </c>
      <c r="G60" s="47">
        <v>22</v>
      </c>
      <c r="H60" s="47">
        <v>0</v>
      </c>
      <c r="I60" s="47">
        <v>8</v>
      </c>
      <c r="J60" s="47">
        <v>4</v>
      </c>
      <c r="K60" s="47">
        <v>10</v>
      </c>
      <c r="L60" s="47">
        <v>19</v>
      </c>
      <c r="M60" s="47">
        <v>43</v>
      </c>
      <c r="N60" s="47">
        <v>41</v>
      </c>
      <c r="O60" s="50">
        <v>570</v>
      </c>
      <c r="P60" s="46"/>
      <c r="Q60" s="345"/>
      <c r="T60" s="11"/>
      <c r="U60" s="11"/>
      <c r="V60" s="11"/>
      <c r="W60" s="11"/>
      <c r="X60" s="11"/>
      <c r="Y60" s="11"/>
      <c r="Z60" s="11"/>
      <c r="AA60" s="11"/>
      <c r="AB60" s="11"/>
      <c r="AC60" s="11"/>
      <c r="AD60" s="11"/>
      <c r="AE60" s="11"/>
      <c r="AF60" s="11"/>
      <c r="AG60" s="11"/>
    </row>
    <row r="61" spans="1:33" ht="6" customHeight="1">
      <c r="A61" s="46"/>
      <c r="B61" s="267"/>
      <c r="C61" s="268"/>
      <c r="D61" s="268"/>
      <c r="E61" s="268"/>
      <c r="F61" s="268"/>
      <c r="G61" s="268"/>
      <c r="H61" s="268"/>
      <c r="I61" s="268"/>
      <c r="J61" s="268"/>
      <c r="K61" s="268"/>
      <c r="L61" s="268"/>
      <c r="M61" s="268"/>
      <c r="N61" s="268"/>
      <c r="O61" s="269"/>
      <c r="P61" s="46"/>
      <c r="T61" s="11"/>
      <c r="U61" s="11"/>
      <c r="V61" s="11"/>
      <c r="W61" s="11"/>
      <c r="X61" s="11"/>
      <c r="Y61" s="11"/>
      <c r="Z61" s="11"/>
      <c r="AA61" s="11"/>
      <c r="AB61" s="11"/>
      <c r="AC61" s="11"/>
      <c r="AD61" s="11"/>
      <c r="AE61" s="11"/>
      <c r="AF61" s="11"/>
      <c r="AG61" s="11"/>
    </row>
    <row r="62" spans="1:33" ht="6" customHeight="1">
      <c r="A62" s="46"/>
      <c r="B62" s="46"/>
      <c r="C62" s="47"/>
      <c r="D62" s="47"/>
      <c r="E62" s="47"/>
      <c r="F62" s="47"/>
      <c r="G62" s="47"/>
      <c r="H62" s="47"/>
      <c r="I62" s="47"/>
      <c r="J62" s="47"/>
      <c r="K62" s="47"/>
      <c r="L62" s="47"/>
      <c r="M62" s="47"/>
      <c r="N62" s="47"/>
      <c r="O62" s="48"/>
      <c r="P62" s="46"/>
      <c r="T62" s="11"/>
      <c r="U62" s="11"/>
      <c r="V62" s="11"/>
      <c r="W62" s="11"/>
      <c r="X62" s="11"/>
      <c r="Y62" s="11"/>
      <c r="Z62" s="11"/>
      <c r="AA62" s="11"/>
      <c r="AB62" s="11"/>
      <c r="AC62" s="11"/>
      <c r="AD62" s="11"/>
      <c r="AE62" s="11"/>
      <c r="AF62" s="11"/>
      <c r="AG62" s="11"/>
    </row>
    <row r="63" spans="1:33" ht="14.25" customHeight="1">
      <c r="A63" s="46"/>
      <c r="B63" s="124" t="s">
        <v>79</v>
      </c>
      <c r="C63" s="47"/>
      <c r="D63" s="47"/>
      <c r="E63" s="47"/>
      <c r="F63" s="47"/>
      <c r="G63" s="47"/>
      <c r="H63" s="47"/>
      <c r="I63" s="47"/>
      <c r="J63" s="47"/>
      <c r="K63" s="47"/>
      <c r="L63" s="47"/>
      <c r="M63" s="47"/>
      <c r="N63" s="47"/>
      <c r="O63" s="48"/>
      <c r="P63" s="46"/>
      <c r="T63" s="11"/>
      <c r="U63" s="11"/>
      <c r="V63" s="11"/>
      <c r="W63" s="11"/>
      <c r="X63" s="11"/>
      <c r="Y63" s="11"/>
      <c r="Z63" s="11"/>
      <c r="AA63" s="11"/>
      <c r="AB63" s="11"/>
      <c r="AC63" s="11"/>
      <c r="AD63" s="11"/>
      <c r="AE63" s="11"/>
      <c r="AF63" s="11"/>
      <c r="AG63" s="11"/>
    </row>
    <row r="64" spans="1:33" ht="71.25" customHeight="1">
      <c r="A64" s="46"/>
      <c r="B64" s="720" t="s">
        <v>80</v>
      </c>
      <c r="C64" s="720"/>
      <c r="D64" s="720"/>
      <c r="E64" s="720"/>
      <c r="F64" s="720"/>
      <c r="G64" s="720"/>
      <c r="H64" s="720"/>
      <c r="I64" s="720"/>
      <c r="J64" s="720"/>
      <c r="K64" s="720"/>
      <c r="L64" s="720"/>
      <c r="M64" s="720"/>
      <c r="N64" s="720"/>
      <c r="O64" s="720"/>
      <c r="P64" s="46"/>
      <c r="T64" s="11"/>
      <c r="U64" s="11"/>
      <c r="V64" s="11"/>
      <c r="W64" s="11"/>
      <c r="X64" s="11"/>
      <c r="Y64" s="11"/>
      <c r="Z64" s="11"/>
      <c r="AA64" s="11"/>
      <c r="AB64" s="11"/>
      <c r="AC64" s="11"/>
      <c r="AD64" s="11"/>
      <c r="AE64" s="11"/>
      <c r="AF64" s="11"/>
      <c r="AG64" s="11"/>
    </row>
    <row r="65" spans="1:33" ht="6" customHeight="1">
      <c r="A65" s="46"/>
      <c r="B65" s="273"/>
      <c r="C65" s="273"/>
      <c r="D65" s="273"/>
      <c r="E65" s="273"/>
      <c r="F65" s="273"/>
      <c r="G65" s="273"/>
      <c r="H65" s="273"/>
      <c r="I65" s="273"/>
      <c r="J65" s="273"/>
      <c r="K65" s="273"/>
      <c r="L65" s="273"/>
      <c r="M65" s="273"/>
      <c r="N65" s="273"/>
      <c r="O65" s="273"/>
      <c r="P65" s="46"/>
      <c r="T65" s="11"/>
      <c r="U65" s="11"/>
      <c r="V65" s="11"/>
      <c r="W65" s="11"/>
      <c r="X65" s="11"/>
      <c r="Y65" s="11"/>
      <c r="Z65" s="11"/>
      <c r="AA65" s="11"/>
      <c r="AB65" s="11"/>
      <c r="AC65" s="11"/>
      <c r="AD65" s="11"/>
      <c r="AE65" s="11"/>
      <c r="AF65" s="11"/>
      <c r="AG65" s="11"/>
    </row>
    <row r="66" spans="1:33" s="275" customFormat="1" ht="14.25" customHeight="1">
      <c r="A66" s="272"/>
      <c r="B66" s="273" t="s">
        <v>81</v>
      </c>
      <c r="C66" s="274"/>
      <c r="D66" s="274"/>
      <c r="E66" s="274"/>
      <c r="F66" s="274"/>
      <c r="G66" s="274"/>
      <c r="H66" s="274"/>
      <c r="I66" s="274"/>
      <c r="J66" s="274"/>
      <c r="K66" s="274"/>
      <c r="L66" s="274"/>
      <c r="M66" s="274"/>
      <c r="N66" s="274"/>
      <c r="O66" s="274"/>
      <c r="P66" s="272"/>
      <c r="T66" s="668"/>
      <c r="U66" s="668"/>
      <c r="V66" s="668"/>
      <c r="W66" s="668"/>
      <c r="X66" s="668"/>
      <c r="Y66" s="668"/>
      <c r="Z66" s="668"/>
      <c r="AA66" s="668"/>
      <c r="AB66" s="668"/>
      <c r="AC66" s="668"/>
      <c r="AD66" s="668"/>
      <c r="AE66" s="668"/>
      <c r="AF66" s="668"/>
      <c r="AG66" s="668"/>
    </row>
    <row r="67" spans="1:33" ht="14.25" customHeight="1">
      <c r="A67" s="46"/>
      <c r="B67" s="720" t="s">
        <v>82</v>
      </c>
      <c r="C67" s="720"/>
      <c r="D67" s="720"/>
      <c r="E67" s="720"/>
      <c r="F67" s="720"/>
      <c r="G67" s="720"/>
      <c r="H67" s="720"/>
      <c r="I67" s="720"/>
      <c r="J67" s="720"/>
      <c r="K67" s="720"/>
      <c r="L67" s="720"/>
      <c r="M67" s="720"/>
      <c r="N67" s="720"/>
      <c r="O67" s="720"/>
      <c r="P67" s="46"/>
    </row>
    <row r="68" spans="1:33">
      <c r="A68" s="124"/>
      <c r="B68" s="373" t="s">
        <v>83</v>
      </c>
      <c r="C68" s="276"/>
      <c r="D68" s="276"/>
      <c r="E68" s="276"/>
      <c r="F68" s="276"/>
      <c r="G68" s="276"/>
      <c r="H68" s="276"/>
      <c r="I68" s="276"/>
      <c r="J68" s="276"/>
      <c r="K68" s="276"/>
      <c r="L68" s="276"/>
      <c r="M68" s="276"/>
      <c r="N68" s="276"/>
      <c r="O68" s="276"/>
      <c r="P68" s="327"/>
      <c r="Q68" s="328"/>
    </row>
    <row r="69" spans="1:33">
      <c r="A69" s="46"/>
      <c r="B69" s="360" t="s">
        <v>84</v>
      </c>
      <c r="C69" s="276"/>
      <c r="D69" s="276"/>
      <c r="E69" s="276"/>
      <c r="F69" s="276"/>
      <c r="G69" s="276"/>
      <c r="H69" s="276"/>
      <c r="I69" s="276"/>
      <c r="J69" s="276"/>
      <c r="K69" s="276"/>
      <c r="L69" s="276"/>
      <c r="M69" s="271"/>
      <c r="N69" s="271"/>
      <c r="O69" s="271"/>
      <c r="P69" s="46"/>
    </row>
    <row r="70" spans="1:33" ht="6" customHeight="1">
      <c r="A70" s="46"/>
      <c r="B70" s="377"/>
      <c r="C70" s="276"/>
      <c r="D70" s="276"/>
      <c r="E70" s="276"/>
      <c r="F70" s="276"/>
      <c r="G70" s="276"/>
      <c r="H70" s="276"/>
      <c r="I70" s="276"/>
      <c r="J70" s="276"/>
      <c r="K70" s="276"/>
      <c r="L70" s="276"/>
      <c r="M70" s="271"/>
      <c r="N70" s="271"/>
      <c r="O70" s="271"/>
      <c r="P70" s="46"/>
    </row>
    <row r="71" spans="1:33" ht="13.5" customHeight="1">
      <c r="B71" s="378"/>
      <c r="C71" s="270"/>
      <c r="D71" s="270"/>
      <c r="E71" s="270"/>
      <c r="F71" s="270"/>
      <c r="G71" s="270"/>
      <c r="H71" s="270"/>
      <c r="I71" s="270"/>
      <c r="J71" s="270"/>
      <c r="K71" s="270"/>
      <c r="L71" s="270"/>
      <c r="M71" s="270"/>
      <c r="N71" s="270"/>
      <c r="O71" s="270"/>
    </row>
    <row r="73" spans="1:33">
      <c r="B73" s="120"/>
    </row>
    <row r="74" spans="1:33">
      <c r="B74" s="120"/>
    </row>
    <row r="75" spans="1:33">
      <c r="C75" s="6"/>
      <c r="D75" s="6"/>
      <c r="E75" s="6"/>
      <c r="F75" s="6"/>
      <c r="G75" s="6"/>
      <c r="H75" s="6"/>
      <c r="I75" s="6"/>
      <c r="J75" s="6"/>
      <c r="K75" s="6"/>
      <c r="L75" s="6"/>
      <c r="M75" s="6"/>
      <c r="N75" s="6"/>
    </row>
    <row r="76" spans="1:33">
      <c r="B76" s="119"/>
    </row>
  </sheetData>
  <mergeCells count="2">
    <mergeCell ref="B67:O67"/>
    <mergeCell ref="B64:O64"/>
  </mergeCells>
  <hyperlinks>
    <hyperlink ref="B68" r:id="rId1" xr:uid="{D07903B4-2640-4CD9-AD0F-6F3BA874A5C2}"/>
    <hyperlink ref="B69" r:id="rId2" xr:uid="{9BD53DBB-91E2-4B94-B169-1A3F7976742C}"/>
  </hyperlinks>
  <pageMargins left="0.75" right="0.75" top="1" bottom="1" header="0.5" footer="0.5"/>
  <pageSetup paperSize="9" orientation="portrait" verticalDpi="0"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Z63"/>
  <sheetViews>
    <sheetView showGridLines="0" topLeftCell="A16" zoomScale="85" zoomScaleNormal="85" workbookViewId="0">
      <selection activeCell="AE38" sqref="AE38"/>
    </sheetView>
  </sheetViews>
  <sheetFormatPr baseColWidth="10" defaultColWidth="9.1640625" defaultRowHeight="13"/>
  <cols>
    <col min="1" max="1" width="1.5" style="1" customWidth="1"/>
    <col min="2" max="2" width="19.5" style="1" customWidth="1"/>
    <col min="3" max="4" width="0" style="1" hidden="1" customWidth="1"/>
    <col min="5" max="14" width="7.6640625" style="1" hidden="1" customWidth="1"/>
    <col min="15" max="16" width="7.6640625" style="1" customWidth="1"/>
    <col min="17" max="17" width="7.6640625" style="3" customWidth="1"/>
    <col min="18" max="18" width="7.6640625" style="1" customWidth="1"/>
    <col min="19" max="19" width="7.6640625" style="3" customWidth="1"/>
    <col min="20" max="20" width="7.6640625" style="1" customWidth="1"/>
    <col min="21" max="22" width="7.83203125" style="3" customWidth="1"/>
    <col min="23" max="23" width="7.83203125" style="1" customWidth="1"/>
    <col min="24" max="25" width="8" style="1" customWidth="1"/>
    <col min="26" max="26" width="1.5" style="1" customWidth="1"/>
    <col min="27" max="16384" width="9.1640625" style="1"/>
  </cols>
  <sheetData>
    <row r="1" spans="1:26" ht="6" customHeight="1">
      <c r="A1" s="55"/>
      <c r="B1" s="55"/>
      <c r="C1" s="55"/>
      <c r="D1" s="55"/>
      <c r="E1" s="55"/>
      <c r="F1" s="55"/>
      <c r="G1" s="55"/>
      <c r="H1" s="55"/>
      <c r="I1" s="55"/>
      <c r="J1" s="55"/>
      <c r="K1" s="55"/>
      <c r="L1" s="55"/>
      <c r="M1" s="55"/>
      <c r="N1" s="55"/>
      <c r="O1" s="55"/>
      <c r="P1" s="55"/>
      <c r="Q1" s="55"/>
      <c r="R1" s="55"/>
      <c r="S1" s="55"/>
      <c r="T1" s="55"/>
      <c r="U1" s="55"/>
      <c r="V1" s="55"/>
      <c r="W1" s="55"/>
      <c r="X1" s="55"/>
      <c r="Y1" s="55"/>
      <c r="Z1" s="55"/>
    </row>
    <row r="2" spans="1:26" s="15" customFormat="1" ht="19.5" customHeight="1">
      <c r="A2" s="14"/>
      <c r="B2" s="279" t="s">
        <v>85</v>
      </c>
      <c r="C2" s="14"/>
      <c r="D2" s="14"/>
      <c r="E2" s="14"/>
      <c r="F2" s="14"/>
      <c r="G2" s="14"/>
      <c r="H2" s="14"/>
      <c r="I2" s="14"/>
      <c r="J2" s="14"/>
      <c r="K2" s="14"/>
      <c r="L2" s="14"/>
      <c r="M2" s="14"/>
      <c r="N2" s="14"/>
      <c r="O2" s="14"/>
      <c r="P2" s="14"/>
      <c r="Q2" s="14"/>
      <c r="R2" s="14"/>
      <c r="S2" s="14"/>
      <c r="T2" s="14"/>
      <c r="U2" s="14"/>
      <c r="V2" s="14"/>
      <c r="W2" s="14"/>
      <c r="X2" s="14"/>
      <c r="Y2" s="14"/>
      <c r="Z2" s="14"/>
    </row>
    <row r="3" spans="1:26" ht="15.75" customHeight="1">
      <c r="A3" s="55"/>
      <c r="B3" s="280" t="s">
        <v>86</v>
      </c>
      <c r="C3" s="55"/>
      <c r="D3" s="55"/>
      <c r="E3" s="55"/>
      <c r="F3" s="55"/>
      <c r="G3" s="55"/>
      <c r="H3" s="55"/>
      <c r="I3" s="55"/>
      <c r="J3" s="55"/>
      <c r="K3" s="55"/>
      <c r="L3" s="55"/>
      <c r="M3" s="55"/>
      <c r="N3" s="55"/>
      <c r="O3" s="55"/>
      <c r="P3" s="55"/>
      <c r="Q3" s="55"/>
      <c r="R3" s="55"/>
      <c r="S3" s="55"/>
      <c r="T3" s="55"/>
      <c r="U3" s="55"/>
      <c r="V3" s="55"/>
      <c r="W3" s="55"/>
      <c r="X3" s="55"/>
      <c r="Y3" s="55"/>
      <c r="Z3" s="55"/>
    </row>
    <row r="4" spans="1:26" ht="6" customHeight="1">
      <c r="A4" s="55"/>
      <c r="B4" s="280"/>
      <c r="C4" s="55"/>
      <c r="D4" s="55"/>
      <c r="E4" s="55"/>
      <c r="F4" s="55"/>
      <c r="G4" s="55"/>
      <c r="H4" s="55"/>
      <c r="I4" s="55"/>
      <c r="J4" s="55"/>
      <c r="K4" s="55"/>
      <c r="L4" s="55"/>
      <c r="M4" s="55"/>
      <c r="N4" s="55"/>
      <c r="O4" s="55"/>
      <c r="P4" s="55"/>
      <c r="Q4" s="55"/>
      <c r="R4" s="55"/>
      <c r="S4" s="55"/>
      <c r="T4" s="55"/>
      <c r="U4" s="55"/>
      <c r="V4" s="55"/>
      <c r="W4" s="55"/>
      <c r="X4" s="55"/>
      <c r="Y4" s="55"/>
      <c r="Z4" s="55"/>
    </row>
    <row r="5" spans="1:26" ht="19.5" customHeight="1">
      <c r="A5" s="57"/>
      <c r="B5" s="75"/>
      <c r="C5" s="76" t="s">
        <v>68</v>
      </c>
      <c r="D5" s="76" t="s">
        <v>69</v>
      </c>
      <c r="E5" s="76" t="s">
        <v>71</v>
      </c>
      <c r="F5" s="76" t="s">
        <v>72</v>
      </c>
      <c r="G5" s="76" t="s">
        <v>73</v>
      </c>
      <c r="H5" s="76" t="s">
        <v>74</v>
      </c>
      <c r="I5" s="76" t="s">
        <v>75</v>
      </c>
      <c r="J5" s="76" t="s">
        <v>76</v>
      </c>
      <c r="K5" s="76" t="s">
        <v>77</v>
      </c>
      <c r="L5" s="76" t="s">
        <v>78</v>
      </c>
      <c r="M5" s="76" t="s">
        <v>49</v>
      </c>
      <c r="N5" s="76" t="s">
        <v>50</v>
      </c>
      <c r="O5" s="76" t="s">
        <v>15</v>
      </c>
      <c r="P5" s="77" t="s">
        <v>16</v>
      </c>
      <c r="Q5" s="77" t="s">
        <v>17</v>
      </c>
      <c r="R5" s="77" t="s">
        <v>18</v>
      </c>
      <c r="S5" s="77" t="s">
        <v>19</v>
      </c>
      <c r="T5" s="77" t="s">
        <v>20</v>
      </c>
      <c r="U5" s="76" t="s">
        <v>21</v>
      </c>
      <c r="V5" s="76" t="s">
        <v>22</v>
      </c>
      <c r="W5" s="77" t="s">
        <v>23</v>
      </c>
      <c r="X5" s="77" t="s">
        <v>24</v>
      </c>
      <c r="Y5" s="409" t="s">
        <v>25</v>
      </c>
      <c r="Z5" s="57"/>
    </row>
    <row r="6" spans="1:26" ht="16.5" customHeight="1">
      <c r="A6" s="57"/>
      <c r="B6" s="281" t="s">
        <v>87</v>
      </c>
      <c r="C6" s="67"/>
      <c r="D6" s="67"/>
      <c r="E6" s="67"/>
      <c r="F6" s="67"/>
      <c r="G6" s="67"/>
      <c r="H6" s="67"/>
      <c r="I6" s="67"/>
      <c r="J6" s="67"/>
      <c r="K6" s="67"/>
      <c r="L6" s="67"/>
      <c r="M6" s="67"/>
      <c r="N6" s="67"/>
      <c r="O6" s="67"/>
      <c r="P6" s="67"/>
      <c r="Q6" s="67"/>
      <c r="R6" s="67"/>
      <c r="S6" s="67"/>
      <c r="T6" s="67"/>
      <c r="U6" s="67"/>
      <c r="V6" s="67"/>
      <c r="W6" s="59"/>
      <c r="X6" s="57"/>
      <c r="Y6" s="57"/>
      <c r="Z6" s="57"/>
    </row>
    <row r="7" spans="1:26" ht="13.5" customHeight="1">
      <c r="A7" s="57"/>
      <c r="B7" s="283" t="s">
        <v>88</v>
      </c>
      <c r="C7" s="67">
        <v>137</v>
      </c>
      <c r="D7" s="67">
        <v>151</v>
      </c>
      <c r="E7" s="67">
        <v>156</v>
      </c>
      <c r="F7" s="67">
        <v>194</v>
      </c>
      <c r="G7" s="67">
        <v>180</v>
      </c>
      <c r="H7" s="67">
        <v>183</v>
      </c>
      <c r="I7" s="59">
        <v>191</v>
      </c>
      <c r="J7" s="59">
        <v>166</v>
      </c>
      <c r="K7" s="59">
        <v>193</v>
      </c>
      <c r="L7" s="59">
        <v>209</v>
      </c>
      <c r="M7" s="59">
        <v>180</v>
      </c>
      <c r="N7" s="59">
        <v>148</v>
      </c>
      <c r="O7" s="59">
        <v>154</v>
      </c>
      <c r="P7" s="59">
        <v>143</v>
      </c>
      <c r="Q7" s="59">
        <v>137</v>
      </c>
      <c r="R7" s="59">
        <v>135</v>
      </c>
      <c r="S7" s="59">
        <v>116</v>
      </c>
      <c r="T7" s="59">
        <v>151</v>
      </c>
      <c r="U7" s="67">
        <v>165</v>
      </c>
      <c r="V7" s="67">
        <v>218</v>
      </c>
      <c r="W7" s="59">
        <v>198</v>
      </c>
      <c r="X7" s="67">
        <v>221</v>
      </c>
      <c r="Y7" s="67">
        <v>183</v>
      </c>
      <c r="Z7" s="57"/>
    </row>
    <row r="8" spans="1:26" ht="14">
      <c r="A8" s="57"/>
      <c r="B8" s="283" t="s">
        <v>89</v>
      </c>
      <c r="C8" s="67">
        <v>47</v>
      </c>
      <c r="D8" s="67">
        <v>41</v>
      </c>
      <c r="E8" s="67">
        <v>50</v>
      </c>
      <c r="F8" s="67">
        <v>36</v>
      </c>
      <c r="G8" s="67">
        <v>26</v>
      </c>
      <c r="H8" s="67">
        <v>55</v>
      </c>
      <c r="I8" s="59">
        <v>49</v>
      </c>
      <c r="J8" s="59">
        <v>38</v>
      </c>
      <c r="K8" s="59">
        <v>38</v>
      </c>
      <c r="L8" s="59">
        <v>45</v>
      </c>
      <c r="M8" s="59">
        <v>41</v>
      </c>
      <c r="N8" s="59">
        <v>29</v>
      </c>
      <c r="O8" s="59">
        <v>38</v>
      </c>
      <c r="P8" s="59">
        <v>36</v>
      </c>
      <c r="Q8" s="59">
        <v>34</v>
      </c>
      <c r="R8" s="59">
        <v>21</v>
      </c>
      <c r="S8" s="59">
        <v>26</v>
      </c>
      <c r="T8" s="59">
        <v>27</v>
      </c>
      <c r="U8" s="67">
        <v>31</v>
      </c>
      <c r="V8" s="67">
        <v>27</v>
      </c>
      <c r="W8" s="59">
        <v>24</v>
      </c>
      <c r="X8" s="67">
        <v>29</v>
      </c>
      <c r="Y8" s="67">
        <v>15</v>
      </c>
      <c r="Z8" s="57"/>
    </row>
    <row r="9" spans="1:26" ht="14">
      <c r="A9" s="57"/>
      <c r="B9" s="283" t="s">
        <v>90</v>
      </c>
      <c r="C9" s="67">
        <v>79</v>
      </c>
      <c r="D9" s="67">
        <v>76</v>
      </c>
      <c r="E9" s="67">
        <v>86</v>
      </c>
      <c r="F9" s="67">
        <v>120</v>
      </c>
      <c r="G9" s="67">
        <v>110</v>
      </c>
      <c r="H9" s="67">
        <v>110</v>
      </c>
      <c r="I9" s="59">
        <v>110</v>
      </c>
      <c r="J9" s="59">
        <v>93</v>
      </c>
      <c r="K9" s="59">
        <v>112</v>
      </c>
      <c r="L9" s="59">
        <v>138</v>
      </c>
      <c r="M9" s="59">
        <v>122</v>
      </c>
      <c r="N9" s="59">
        <v>108</v>
      </c>
      <c r="O9" s="59">
        <v>106</v>
      </c>
      <c r="P9" s="59">
        <v>79</v>
      </c>
      <c r="Q9" s="59">
        <v>94</v>
      </c>
      <c r="R9" s="59">
        <v>81</v>
      </c>
      <c r="S9" s="59">
        <v>81</v>
      </c>
      <c r="T9" s="59">
        <v>79</v>
      </c>
      <c r="U9" s="67">
        <v>93</v>
      </c>
      <c r="V9" s="67">
        <v>89</v>
      </c>
      <c r="W9" s="59">
        <v>74</v>
      </c>
      <c r="X9" s="67">
        <v>95</v>
      </c>
      <c r="Y9" s="67">
        <v>87</v>
      </c>
      <c r="Z9" s="57"/>
    </row>
    <row r="10" spans="1:26" ht="16">
      <c r="A10" s="57"/>
      <c r="B10" s="283" t="s">
        <v>91</v>
      </c>
      <c r="C10" s="67">
        <v>12</v>
      </c>
      <c r="D10" s="67">
        <v>27</v>
      </c>
      <c r="E10" s="67">
        <v>83</v>
      </c>
      <c r="F10" s="67">
        <v>18</v>
      </c>
      <c r="G10" s="67">
        <v>20</v>
      </c>
      <c r="H10" s="67">
        <v>17</v>
      </c>
      <c r="I10" s="59">
        <v>16</v>
      </c>
      <c r="J10" s="59">
        <v>14</v>
      </c>
      <c r="K10" s="59">
        <v>22</v>
      </c>
      <c r="L10" s="59">
        <v>16</v>
      </c>
      <c r="M10" s="59">
        <v>12</v>
      </c>
      <c r="N10" s="59">
        <v>13</v>
      </c>
      <c r="O10" s="59">
        <v>21</v>
      </c>
      <c r="P10" s="59">
        <v>15</v>
      </c>
      <c r="Q10" s="59">
        <v>15</v>
      </c>
      <c r="R10" s="59">
        <v>19</v>
      </c>
      <c r="S10" s="59">
        <v>17</v>
      </c>
      <c r="T10" s="59">
        <v>15</v>
      </c>
      <c r="U10" s="67">
        <v>101</v>
      </c>
      <c r="V10" s="67">
        <v>15</v>
      </c>
      <c r="W10" s="59">
        <v>15</v>
      </c>
      <c r="X10" s="67">
        <v>47</v>
      </c>
      <c r="Y10" s="67">
        <v>10</v>
      </c>
      <c r="Z10" s="57"/>
    </row>
    <row r="11" spans="1:26" ht="16">
      <c r="A11" s="57"/>
      <c r="B11" s="283" t="s">
        <v>92</v>
      </c>
      <c r="C11" s="67">
        <v>45</v>
      </c>
      <c r="D11" s="67">
        <v>42</v>
      </c>
      <c r="E11" s="67">
        <v>62</v>
      </c>
      <c r="F11" s="67">
        <v>90</v>
      </c>
      <c r="G11" s="67">
        <v>57</v>
      </c>
      <c r="H11" s="67">
        <v>61</v>
      </c>
      <c r="I11" s="59">
        <v>62</v>
      </c>
      <c r="J11" s="59">
        <v>38</v>
      </c>
      <c r="K11" s="59">
        <v>52</v>
      </c>
      <c r="L11" s="59">
        <v>47</v>
      </c>
      <c r="M11" s="59">
        <v>35</v>
      </c>
      <c r="N11" s="59">
        <v>33</v>
      </c>
      <c r="O11" s="59">
        <v>53</v>
      </c>
      <c r="P11" s="59">
        <v>33</v>
      </c>
      <c r="Q11" s="59">
        <v>20</v>
      </c>
      <c r="R11" s="59">
        <v>21</v>
      </c>
      <c r="S11" s="59">
        <v>16</v>
      </c>
      <c r="T11" s="59">
        <v>22</v>
      </c>
      <c r="U11" s="67">
        <v>27</v>
      </c>
      <c r="V11" s="67">
        <v>23</v>
      </c>
      <c r="W11" s="59">
        <v>28</v>
      </c>
      <c r="X11" s="67">
        <v>23</v>
      </c>
      <c r="Y11" s="67">
        <v>31</v>
      </c>
      <c r="Z11" s="57"/>
    </row>
    <row r="12" spans="1:26" ht="16">
      <c r="A12" s="57"/>
      <c r="B12" s="283" t="s">
        <v>93</v>
      </c>
      <c r="C12" s="67">
        <v>1</v>
      </c>
      <c r="D12" s="67">
        <v>2</v>
      </c>
      <c r="E12" s="68">
        <v>2</v>
      </c>
      <c r="F12" s="68" t="s">
        <v>94</v>
      </c>
      <c r="G12" s="68">
        <v>2</v>
      </c>
      <c r="H12" s="68" t="s">
        <v>94</v>
      </c>
      <c r="I12" s="59">
        <v>2</v>
      </c>
      <c r="J12" s="59">
        <v>24</v>
      </c>
      <c r="K12" s="59">
        <v>0</v>
      </c>
      <c r="L12" s="59">
        <v>0</v>
      </c>
      <c r="M12" s="59">
        <v>2</v>
      </c>
      <c r="N12" s="59">
        <v>0</v>
      </c>
      <c r="O12" s="59">
        <v>0</v>
      </c>
      <c r="P12" s="59">
        <v>1</v>
      </c>
      <c r="Q12" s="59">
        <v>2</v>
      </c>
      <c r="R12" s="59">
        <v>1</v>
      </c>
      <c r="S12" s="59">
        <v>0</v>
      </c>
      <c r="T12" s="59">
        <v>0</v>
      </c>
      <c r="U12" s="67">
        <v>2</v>
      </c>
      <c r="V12" s="67">
        <v>13</v>
      </c>
      <c r="W12" s="59">
        <v>0</v>
      </c>
      <c r="X12" s="67">
        <v>0</v>
      </c>
      <c r="Y12" s="67">
        <v>0</v>
      </c>
      <c r="Z12" s="57"/>
    </row>
    <row r="13" spans="1:26" ht="14">
      <c r="A13" s="57"/>
      <c r="B13" s="283" t="s">
        <v>95</v>
      </c>
      <c r="C13" s="67">
        <v>15</v>
      </c>
      <c r="D13" s="67">
        <v>13</v>
      </c>
      <c r="E13" s="67">
        <v>8</v>
      </c>
      <c r="F13" s="67">
        <v>15</v>
      </c>
      <c r="G13" s="67">
        <v>7</v>
      </c>
      <c r="H13" s="67">
        <v>19</v>
      </c>
      <c r="I13" s="59">
        <v>18</v>
      </c>
      <c r="J13" s="59">
        <v>15</v>
      </c>
      <c r="K13" s="59">
        <v>13</v>
      </c>
      <c r="L13" s="59">
        <v>12</v>
      </c>
      <c r="M13" s="59">
        <v>11</v>
      </c>
      <c r="N13" s="59">
        <v>10</v>
      </c>
      <c r="O13" s="59">
        <v>8</v>
      </c>
      <c r="P13" s="59">
        <v>9</v>
      </c>
      <c r="Q13" s="59">
        <v>15</v>
      </c>
      <c r="R13" s="59">
        <v>9</v>
      </c>
      <c r="S13" s="59">
        <v>8</v>
      </c>
      <c r="T13" s="59">
        <v>8</v>
      </c>
      <c r="U13" s="67">
        <v>5</v>
      </c>
      <c r="V13" s="67">
        <v>5</v>
      </c>
      <c r="W13" s="59">
        <v>6</v>
      </c>
      <c r="X13" s="67">
        <v>6</v>
      </c>
      <c r="Y13" s="67">
        <v>6</v>
      </c>
      <c r="Z13" s="57"/>
    </row>
    <row r="14" spans="1:26" ht="14">
      <c r="A14" s="57"/>
      <c r="B14" s="283" t="s">
        <v>62</v>
      </c>
      <c r="C14" s="67">
        <v>5</v>
      </c>
      <c r="D14" s="67">
        <v>3</v>
      </c>
      <c r="E14" s="67">
        <v>7</v>
      </c>
      <c r="F14" s="67">
        <v>9</v>
      </c>
      <c r="G14" s="67">
        <v>4</v>
      </c>
      <c r="H14" s="67">
        <v>20</v>
      </c>
      <c r="I14" s="59">
        <v>8</v>
      </c>
      <c r="J14" s="59">
        <v>3</v>
      </c>
      <c r="K14" s="59">
        <v>8</v>
      </c>
      <c r="L14" s="59">
        <v>4</v>
      </c>
      <c r="M14" s="59">
        <v>3</v>
      </c>
      <c r="N14" s="59">
        <v>2</v>
      </c>
      <c r="O14" s="59">
        <v>4</v>
      </c>
      <c r="P14" s="59">
        <v>4</v>
      </c>
      <c r="Q14" s="59">
        <v>6</v>
      </c>
      <c r="R14" s="59">
        <v>4</v>
      </c>
      <c r="S14" s="59">
        <v>3</v>
      </c>
      <c r="T14" s="59">
        <v>3</v>
      </c>
      <c r="U14" s="67">
        <v>2</v>
      </c>
      <c r="V14" s="67">
        <v>2</v>
      </c>
      <c r="W14" s="59">
        <v>2</v>
      </c>
      <c r="X14" s="67">
        <v>3</v>
      </c>
      <c r="Y14" s="67">
        <v>8</v>
      </c>
      <c r="Z14" s="57"/>
    </row>
    <row r="15" spans="1:26" ht="14">
      <c r="A15" s="57"/>
      <c r="B15" s="283" t="s">
        <v>63</v>
      </c>
      <c r="C15" s="67">
        <v>12</v>
      </c>
      <c r="D15" s="67">
        <v>24</v>
      </c>
      <c r="E15" s="67">
        <v>22</v>
      </c>
      <c r="F15" s="67">
        <v>18</v>
      </c>
      <c r="G15" s="67">
        <v>66</v>
      </c>
      <c r="H15" s="67">
        <v>11</v>
      </c>
      <c r="I15" s="59">
        <v>19</v>
      </c>
      <c r="J15" s="59">
        <v>18</v>
      </c>
      <c r="K15" s="59">
        <v>18</v>
      </c>
      <c r="L15" s="59">
        <v>15</v>
      </c>
      <c r="M15" s="59">
        <v>8</v>
      </c>
      <c r="N15" s="59">
        <v>11</v>
      </c>
      <c r="O15" s="59">
        <v>12</v>
      </c>
      <c r="P15" s="59">
        <v>3</v>
      </c>
      <c r="Q15" s="59">
        <v>8</v>
      </c>
      <c r="R15" s="59">
        <v>10</v>
      </c>
      <c r="S15" s="59">
        <v>14</v>
      </c>
      <c r="T15" s="59">
        <v>15</v>
      </c>
      <c r="U15" s="67">
        <v>12</v>
      </c>
      <c r="V15" s="67">
        <v>10</v>
      </c>
      <c r="W15" s="59">
        <v>4</v>
      </c>
      <c r="X15" s="67">
        <v>8</v>
      </c>
      <c r="Y15" s="67">
        <v>11</v>
      </c>
      <c r="Z15" s="57"/>
    </row>
    <row r="16" spans="1:26" ht="16">
      <c r="A16" s="57"/>
      <c r="B16" s="283" t="s">
        <v>96</v>
      </c>
      <c r="C16" s="67">
        <v>12</v>
      </c>
      <c r="D16" s="67">
        <v>11</v>
      </c>
      <c r="E16" s="67">
        <v>11</v>
      </c>
      <c r="F16" s="67">
        <v>15</v>
      </c>
      <c r="G16" s="67">
        <v>18</v>
      </c>
      <c r="H16" s="67">
        <v>14</v>
      </c>
      <c r="I16" s="59">
        <v>17</v>
      </c>
      <c r="J16" s="59">
        <v>10</v>
      </c>
      <c r="K16" s="59">
        <v>3</v>
      </c>
      <c r="L16" s="59">
        <v>9</v>
      </c>
      <c r="M16" s="59">
        <v>7</v>
      </c>
      <c r="N16" s="59">
        <v>15</v>
      </c>
      <c r="O16" s="59">
        <v>7</v>
      </c>
      <c r="P16" s="59">
        <v>5</v>
      </c>
      <c r="Q16" s="59">
        <v>4</v>
      </c>
      <c r="R16" s="59">
        <v>9</v>
      </c>
      <c r="S16" s="59">
        <v>8</v>
      </c>
      <c r="T16" s="59">
        <v>8</v>
      </c>
      <c r="U16" s="67">
        <v>17</v>
      </c>
      <c r="V16" s="67">
        <v>11</v>
      </c>
      <c r="W16" s="59">
        <v>9</v>
      </c>
      <c r="X16" s="67">
        <v>20</v>
      </c>
      <c r="Y16" s="67">
        <v>16</v>
      </c>
      <c r="Z16" s="57"/>
    </row>
    <row r="17" spans="1:26" ht="14">
      <c r="A17" s="57"/>
      <c r="B17" s="283" t="s">
        <v>65</v>
      </c>
      <c r="C17" s="67">
        <v>26</v>
      </c>
      <c r="D17" s="67">
        <v>26</v>
      </c>
      <c r="E17" s="67">
        <v>41</v>
      </c>
      <c r="F17" s="67">
        <v>22</v>
      </c>
      <c r="G17" s="67">
        <v>27</v>
      </c>
      <c r="H17" s="67">
        <v>20</v>
      </c>
      <c r="I17" s="59">
        <v>28</v>
      </c>
      <c r="J17" s="59">
        <v>16</v>
      </c>
      <c r="K17" s="59">
        <v>23</v>
      </c>
      <c r="L17" s="59">
        <v>23</v>
      </c>
      <c r="M17" s="59">
        <v>15</v>
      </c>
      <c r="N17" s="59">
        <v>15</v>
      </c>
      <c r="O17" s="59">
        <v>21</v>
      </c>
      <c r="P17" s="59">
        <v>18</v>
      </c>
      <c r="Q17" s="59">
        <v>25</v>
      </c>
      <c r="R17" s="59">
        <v>17</v>
      </c>
      <c r="S17" s="59">
        <v>22</v>
      </c>
      <c r="T17" s="59">
        <v>24</v>
      </c>
      <c r="U17" s="67">
        <v>29</v>
      </c>
      <c r="V17" s="67">
        <v>45</v>
      </c>
      <c r="W17" s="59">
        <v>32</v>
      </c>
      <c r="X17" s="67">
        <v>25</v>
      </c>
      <c r="Y17" s="67">
        <v>26</v>
      </c>
      <c r="Z17" s="57"/>
    </row>
    <row r="18" spans="1:26" ht="14">
      <c r="A18" s="57"/>
      <c r="B18" s="283" t="s">
        <v>66</v>
      </c>
      <c r="C18" s="67">
        <v>9</v>
      </c>
      <c r="D18" s="67">
        <v>12</v>
      </c>
      <c r="E18" s="67">
        <v>9</v>
      </c>
      <c r="F18" s="67">
        <v>12</v>
      </c>
      <c r="G18" s="67">
        <v>18</v>
      </c>
      <c r="H18" s="67">
        <v>40</v>
      </c>
      <c r="I18" s="59">
        <v>28</v>
      </c>
      <c r="J18" s="59">
        <v>32</v>
      </c>
      <c r="K18" s="59">
        <v>32</v>
      </c>
      <c r="L18" s="59">
        <v>12</v>
      </c>
      <c r="M18" s="59">
        <v>6</v>
      </c>
      <c r="N18" s="59">
        <v>18</v>
      </c>
      <c r="O18" s="59">
        <v>8</v>
      </c>
      <c r="P18" s="59">
        <v>8</v>
      </c>
      <c r="Q18" s="59">
        <v>15</v>
      </c>
      <c r="R18" s="59">
        <v>10</v>
      </c>
      <c r="S18" s="59">
        <v>8</v>
      </c>
      <c r="T18" s="59">
        <v>17</v>
      </c>
      <c r="U18" s="67">
        <v>19</v>
      </c>
      <c r="V18" s="67">
        <v>20</v>
      </c>
      <c r="W18" s="59">
        <v>24</v>
      </c>
      <c r="X18" s="67">
        <v>18</v>
      </c>
      <c r="Y18" s="67">
        <v>23</v>
      </c>
      <c r="Z18" s="57"/>
    </row>
    <row r="19" spans="1:26" s="2" customFormat="1" ht="14.25" customHeight="1">
      <c r="A19" s="58"/>
      <c r="B19" s="285" t="s">
        <v>67</v>
      </c>
      <c r="C19" s="70">
        <v>400</v>
      </c>
      <c r="D19" s="69">
        <v>428</v>
      </c>
      <c r="E19" s="69">
        <v>537</v>
      </c>
      <c r="F19" s="69">
        <v>549</v>
      </c>
      <c r="G19" s="69">
        <v>535</v>
      </c>
      <c r="H19" s="69">
        <v>550</v>
      </c>
      <c r="I19" s="60">
        <v>548</v>
      </c>
      <c r="J19" s="60">
        <v>467</v>
      </c>
      <c r="K19" s="60">
        <v>514</v>
      </c>
      <c r="L19" s="60">
        <v>530</v>
      </c>
      <c r="M19" s="60">
        <v>442</v>
      </c>
      <c r="N19" s="60">
        <v>402</v>
      </c>
      <c r="O19" s="60">
        <v>432</v>
      </c>
      <c r="P19" s="60">
        <v>354</v>
      </c>
      <c r="Q19" s="60">
        <v>375</v>
      </c>
      <c r="R19" s="60">
        <v>337</v>
      </c>
      <c r="S19" s="60">
        <v>319</v>
      </c>
      <c r="T19" s="60">
        <v>369</v>
      </c>
      <c r="U19" s="60">
        <v>503</v>
      </c>
      <c r="V19" s="60">
        <v>478</v>
      </c>
      <c r="W19" s="60">
        <v>416</v>
      </c>
      <c r="X19" s="60">
        <v>495</v>
      </c>
      <c r="Y19" s="60">
        <v>416</v>
      </c>
      <c r="Z19" s="58"/>
    </row>
    <row r="20" spans="1:26" ht="28">
      <c r="A20" s="57"/>
      <c r="B20" s="284" t="s">
        <v>97</v>
      </c>
      <c r="C20" s="71">
        <v>0.34250000000000003</v>
      </c>
      <c r="D20" s="71">
        <v>0.35280373831775702</v>
      </c>
      <c r="E20" s="72">
        <v>0.29050279329608941</v>
      </c>
      <c r="F20" s="72">
        <v>0.3533697632058288</v>
      </c>
      <c r="G20" s="72">
        <v>0.3364485981308411</v>
      </c>
      <c r="H20" s="72">
        <v>0.3327272727272727</v>
      </c>
      <c r="I20" s="72">
        <v>0.34790528233151186</v>
      </c>
      <c r="J20" s="72">
        <v>0.35546038543897218</v>
      </c>
      <c r="K20" s="72">
        <v>0.37403100775193798</v>
      </c>
      <c r="L20" s="72">
        <v>0.39212007504690433</v>
      </c>
      <c r="M20" s="72">
        <v>0.40358744394618834</v>
      </c>
      <c r="N20" s="72">
        <v>0.3583535108958838</v>
      </c>
      <c r="O20" s="72">
        <v>0.35648148148148145</v>
      </c>
      <c r="P20" s="72">
        <v>0.403954802259887</v>
      </c>
      <c r="Q20" s="72">
        <v>0.36533333333333334</v>
      </c>
      <c r="R20" s="72">
        <v>0.40059347181008903</v>
      </c>
      <c r="S20" s="72">
        <v>0.36363636363636365</v>
      </c>
      <c r="T20" s="72">
        <v>0.40921409214092141</v>
      </c>
      <c r="U20" s="72">
        <v>0.32803180914512925</v>
      </c>
      <c r="V20" s="72">
        <v>0.45606694560669458</v>
      </c>
      <c r="W20" s="61">
        <v>0.47596153846153844</v>
      </c>
      <c r="X20" s="72">
        <v>0.44646464646464645</v>
      </c>
      <c r="Y20" s="72">
        <v>0.43990384615384615</v>
      </c>
      <c r="Z20" s="57"/>
    </row>
    <row r="21" spans="1:26" ht="6" customHeight="1">
      <c r="A21" s="57"/>
      <c r="B21" s="282"/>
      <c r="C21" s="68"/>
      <c r="D21" s="67"/>
      <c r="E21" s="67"/>
      <c r="F21" s="67"/>
      <c r="G21" s="67"/>
      <c r="H21" s="67"/>
      <c r="I21" s="67"/>
      <c r="J21" s="67"/>
      <c r="K21" s="67"/>
      <c r="L21" s="67"/>
      <c r="M21" s="67"/>
      <c r="N21" s="67"/>
      <c r="O21" s="67"/>
      <c r="P21" s="67"/>
      <c r="Q21" s="67"/>
      <c r="R21" s="67"/>
      <c r="S21" s="67"/>
      <c r="T21" s="67"/>
      <c r="U21" s="67"/>
      <c r="V21" s="67"/>
      <c r="W21" s="60"/>
      <c r="X21" s="57"/>
      <c r="Y21" s="57"/>
      <c r="Z21" s="57"/>
    </row>
    <row r="22" spans="1:26" ht="14">
      <c r="A22" s="57"/>
      <c r="B22" s="281" t="s">
        <v>98</v>
      </c>
      <c r="C22" s="68"/>
      <c r="D22" s="67"/>
      <c r="E22" s="67"/>
      <c r="F22" s="67"/>
      <c r="G22" s="67"/>
      <c r="H22" s="67"/>
      <c r="I22" s="67"/>
      <c r="J22" s="67"/>
      <c r="K22" s="67"/>
      <c r="L22" s="67"/>
      <c r="M22" s="67"/>
      <c r="N22" s="67"/>
      <c r="O22" s="67"/>
      <c r="P22" s="67"/>
      <c r="Q22" s="67"/>
      <c r="R22" s="67"/>
      <c r="S22" s="67"/>
      <c r="T22" s="67"/>
      <c r="U22" s="67"/>
      <c r="V22" s="67"/>
      <c r="W22" s="59"/>
      <c r="X22" s="57"/>
      <c r="Y22" s="57"/>
      <c r="Z22" s="57"/>
    </row>
    <row r="23" spans="1:26" ht="14.25" customHeight="1">
      <c r="A23" s="57"/>
      <c r="B23" s="283" t="s">
        <v>88</v>
      </c>
      <c r="C23" s="67">
        <v>65</v>
      </c>
      <c r="D23" s="67">
        <v>50</v>
      </c>
      <c r="E23" s="67">
        <v>57</v>
      </c>
      <c r="F23" s="67">
        <v>67</v>
      </c>
      <c r="G23" s="67">
        <v>83</v>
      </c>
      <c r="H23" s="67">
        <v>59</v>
      </c>
      <c r="I23" s="67">
        <v>71</v>
      </c>
      <c r="J23" s="59">
        <v>60</v>
      </c>
      <c r="K23" s="59">
        <v>79</v>
      </c>
      <c r="L23" s="59">
        <v>59</v>
      </c>
      <c r="M23" s="59">
        <v>76</v>
      </c>
      <c r="N23" s="59">
        <v>62</v>
      </c>
      <c r="O23" s="59">
        <v>82</v>
      </c>
      <c r="P23" s="59">
        <v>65</v>
      </c>
      <c r="Q23" s="59">
        <v>58</v>
      </c>
      <c r="R23" s="59">
        <v>68</v>
      </c>
      <c r="S23" s="59">
        <v>70</v>
      </c>
      <c r="T23" s="59">
        <v>60</v>
      </c>
      <c r="U23" s="67">
        <v>51</v>
      </c>
      <c r="V23" s="67">
        <v>63</v>
      </c>
      <c r="W23" s="59">
        <v>62</v>
      </c>
      <c r="X23" s="67">
        <v>48</v>
      </c>
      <c r="Y23" s="67">
        <v>52</v>
      </c>
      <c r="Z23" s="57"/>
    </row>
    <row r="24" spans="1:26" ht="14">
      <c r="A24" s="57"/>
      <c r="B24" s="283" t="s">
        <v>89</v>
      </c>
      <c r="C24" s="67">
        <v>21</v>
      </c>
      <c r="D24" s="67">
        <v>24</v>
      </c>
      <c r="E24" s="67">
        <v>27</v>
      </c>
      <c r="F24" s="67">
        <v>24</v>
      </c>
      <c r="G24" s="67">
        <v>22</v>
      </c>
      <c r="H24" s="67">
        <v>20</v>
      </c>
      <c r="I24" s="67">
        <v>18</v>
      </c>
      <c r="J24" s="59">
        <v>21</v>
      </c>
      <c r="K24" s="59">
        <v>13</v>
      </c>
      <c r="L24" s="59">
        <v>22</v>
      </c>
      <c r="M24" s="59">
        <v>18</v>
      </c>
      <c r="N24" s="59">
        <v>20</v>
      </c>
      <c r="O24" s="59">
        <v>23</v>
      </c>
      <c r="P24" s="59">
        <v>15</v>
      </c>
      <c r="Q24" s="59">
        <v>15</v>
      </c>
      <c r="R24" s="59">
        <v>16</v>
      </c>
      <c r="S24" s="59">
        <v>15</v>
      </c>
      <c r="T24" s="59">
        <v>18</v>
      </c>
      <c r="U24" s="67">
        <v>18</v>
      </c>
      <c r="V24" s="67">
        <v>10</v>
      </c>
      <c r="W24" s="59">
        <v>13</v>
      </c>
      <c r="X24" s="67">
        <v>19</v>
      </c>
      <c r="Y24" s="67">
        <v>17</v>
      </c>
      <c r="Z24" s="57"/>
    </row>
    <row r="25" spans="1:26" ht="14">
      <c r="A25" s="57"/>
      <c r="B25" s="283" t="s">
        <v>90</v>
      </c>
      <c r="C25" s="67">
        <v>24</v>
      </c>
      <c r="D25" s="67">
        <v>12</v>
      </c>
      <c r="E25" s="67">
        <v>16</v>
      </c>
      <c r="F25" s="67">
        <v>25</v>
      </c>
      <c r="G25" s="67">
        <v>38</v>
      </c>
      <c r="H25" s="67">
        <v>26</v>
      </c>
      <c r="I25" s="67">
        <v>16</v>
      </c>
      <c r="J25" s="59">
        <v>19</v>
      </c>
      <c r="K25" s="59">
        <v>16</v>
      </c>
      <c r="L25" s="59">
        <v>23</v>
      </c>
      <c r="M25" s="59">
        <v>26</v>
      </c>
      <c r="N25" s="59">
        <v>18</v>
      </c>
      <c r="O25" s="59">
        <v>11</v>
      </c>
      <c r="P25" s="59">
        <v>9</v>
      </c>
      <c r="Q25" s="59">
        <v>12</v>
      </c>
      <c r="R25" s="59">
        <v>23</v>
      </c>
      <c r="S25" s="59">
        <v>11</v>
      </c>
      <c r="T25" s="59">
        <v>21</v>
      </c>
      <c r="U25" s="67">
        <v>19</v>
      </c>
      <c r="V25" s="67">
        <v>14</v>
      </c>
      <c r="W25" s="59">
        <v>26</v>
      </c>
      <c r="X25" s="67">
        <v>18</v>
      </c>
      <c r="Y25" s="67">
        <v>20</v>
      </c>
      <c r="Z25" s="57"/>
    </row>
    <row r="26" spans="1:26" ht="16">
      <c r="A26" s="57"/>
      <c r="B26" s="283" t="s">
        <v>91</v>
      </c>
      <c r="C26" s="67">
        <v>50</v>
      </c>
      <c r="D26" s="67">
        <v>49</v>
      </c>
      <c r="E26" s="67">
        <v>63</v>
      </c>
      <c r="F26" s="67">
        <v>60</v>
      </c>
      <c r="G26" s="67">
        <v>46</v>
      </c>
      <c r="H26" s="67">
        <v>50</v>
      </c>
      <c r="I26" s="67">
        <v>50</v>
      </c>
      <c r="J26" s="59">
        <v>44</v>
      </c>
      <c r="K26" s="59">
        <v>34</v>
      </c>
      <c r="L26" s="59">
        <v>41</v>
      </c>
      <c r="M26" s="59">
        <v>33</v>
      </c>
      <c r="N26" s="59">
        <v>40</v>
      </c>
      <c r="O26" s="59">
        <v>40</v>
      </c>
      <c r="P26" s="59">
        <v>45</v>
      </c>
      <c r="Q26" s="59">
        <v>26</v>
      </c>
      <c r="R26" s="59">
        <v>34</v>
      </c>
      <c r="S26" s="59">
        <v>35</v>
      </c>
      <c r="T26" s="59">
        <v>33</v>
      </c>
      <c r="U26" s="67">
        <v>34</v>
      </c>
      <c r="V26" s="67">
        <v>37</v>
      </c>
      <c r="W26" s="59">
        <v>40</v>
      </c>
      <c r="X26" s="67">
        <v>31</v>
      </c>
      <c r="Y26" s="67">
        <v>17</v>
      </c>
      <c r="Z26" s="57"/>
    </row>
    <row r="27" spans="1:26" ht="16">
      <c r="A27" s="57"/>
      <c r="B27" s="283" t="s">
        <v>99</v>
      </c>
      <c r="C27" s="67">
        <v>7</v>
      </c>
      <c r="D27" s="67">
        <v>4</v>
      </c>
      <c r="E27" s="67">
        <v>9</v>
      </c>
      <c r="F27" s="67">
        <v>6</v>
      </c>
      <c r="G27" s="67">
        <v>20</v>
      </c>
      <c r="H27" s="67">
        <v>6</v>
      </c>
      <c r="I27" s="67">
        <v>11</v>
      </c>
      <c r="J27" s="59">
        <v>12</v>
      </c>
      <c r="K27" s="59">
        <v>6</v>
      </c>
      <c r="L27" s="59">
        <v>6</v>
      </c>
      <c r="M27" s="59">
        <v>4</v>
      </c>
      <c r="N27" s="59">
        <v>8</v>
      </c>
      <c r="O27" s="59">
        <v>8</v>
      </c>
      <c r="P27" s="59">
        <v>7</v>
      </c>
      <c r="Q27" s="59">
        <v>9</v>
      </c>
      <c r="R27" s="59">
        <v>8</v>
      </c>
      <c r="S27" s="59">
        <v>4</v>
      </c>
      <c r="T27" s="59">
        <v>3</v>
      </c>
      <c r="U27" s="67">
        <v>5</v>
      </c>
      <c r="V27" s="67">
        <v>4</v>
      </c>
      <c r="W27" s="59">
        <v>4</v>
      </c>
      <c r="X27" s="67">
        <v>7</v>
      </c>
      <c r="Y27" s="67">
        <v>4</v>
      </c>
      <c r="Z27" s="57"/>
    </row>
    <row r="28" spans="1:26" ht="16">
      <c r="A28" s="57"/>
      <c r="B28" s="283" t="s">
        <v>93</v>
      </c>
      <c r="C28" s="73">
        <v>0</v>
      </c>
      <c r="D28" s="68" t="s">
        <v>94</v>
      </c>
      <c r="E28" s="68" t="s">
        <v>94</v>
      </c>
      <c r="F28" s="68">
        <v>1</v>
      </c>
      <c r="G28" s="68" t="s">
        <v>94</v>
      </c>
      <c r="H28" s="68" t="s">
        <v>94</v>
      </c>
      <c r="I28" s="68" t="s">
        <v>94</v>
      </c>
      <c r="J28" s="59">
        <v>29</v>
      </c>
      <c r="K28" s="59">
        <v>0</v>
      </c>
      <c r="L28" s="59">
        <v>0</v>
      </c>
      <c r="M28" s="59">
        <v>0</v>
      </c>
      <c r="N28" s="59">
        <v>0</v>
      </c>
      <c r="O28" s="59">
        <v>0</v>
      </c>
      <c r="P28" s="59">
        <v>0</v>
      </c>
      <c r="Q28" s="59">
        <v>0</v>
      </c>
      <c r="R28" s="59">
        <v>0</v>
      </c>
      <c r="S28" s="59">
        <v>0</v>
      </c>
      <c r="T28" s="59">
        <v>0</v>
      </c>
      <c r="U28" s="67">
        <v>0</v>
      </c>
      <c r="V28" s="67">
        <v>21</v>
      </c>
      <c r="W28" s="59">
        <v>0</v>
      </c>
      <c r="X28" s="67">
        <v>0</v>
      </c>
      <c r="Y28" s="67">
        <v>0</v>
      </c>
      <c r="Z28" s="57"/>
    </row>
    <row r="29" spans="1:26" ht="14">
      <c r="A29" s="57"/>
      <c r="B29" s="283" t="s">
        <v>95</v>
      </c>
      <c r="C29" s="67">
        <v>13</v>
      </c>
      <c r="D29" s="67">
        <v>19</v>
      </c>
      <c r="E29" s="67">
        <v>9</v>
      </c>
      <c r="F29" s="67">
        <v>14</v>
      </c>
      <c r="G29" s="67">
        <v>15</v>
      </c>
      <c r="H29" s="67">
        <v>9</v>
      </c>
      <c r="I29" s="67">
        <v>16</v>
      </c>
      <c r="J29" s="59">
        <v>11</v>
      </c>
      <c r="K29" s="59">
        <v>16</v>
      </c>
      <c r="L29" s="59">
        <v>14</v>
      </c>
      <c r="M29" s="59">
        <v>10</v>
      </c>
      <c r="N29" s="59">
        <v>11</v>
      </c>
      <c r="O29" s="59">
        <v>13</v>
      </c>
      <c r="P29" s="59">
        <v>8</v>
      </c>
      <c r="Q29" s="59">
        <v>11</v>
      </c>
      <c r="R29" s="59">
        <v>8</v>
      </c>
      <c r="S29" s="59">
        <v>1</v>
      </c>
      <c r="T29" s="59">
        <v>5</v>
      </c>
      <c r="U29" s="67">
        <v>2</v>
      </c>
      <c r="V29" s="67">
        <v>7</v>
      </c>
      <c r="W29" s="59">
        <v>5</v>
      </c>
      <c r="X29" s="67">
        <v>7</v>
      </c>
      <c r="Y29" s="67">
        <v>2</v>
      </c>
      <c r="Z29" s="57"/>
    </row>
    <row r="30" spans="1:26" ht="14">
      <c r="A30" s="57"/>
      <c r="B30" s="283" t="s">
        <v>62</v>
      </c>
      <c r="C30" s="74">
        <v>1</v>
      </c>
      <c r="D30" s="67">
        <v>3</v>
      </c>
      <c r="E30" s="67">
        <v>2</v>
      </c>
      <c r="F30" s="67">
        <v>4</v>
      </c>
      <c r="G30" s="67">
        <v>2</v>
      </c>
      <c r="H30" s="67">
        <v>4</v>
      </c>
      <c r="I30" s="67">
        <v>4</v>
      </c>
      <c r="J30" s="59">
        <v>1</v>
      </c>
      <c r="K30" s="59">
        <v>1</v>
      </c>
      <c r="L30" s="59">
        <v>1</v>
      </c>
      <c r="M30" s="59">
        <v>1</v>
      </c>
      <c r="N30" s="59">
        <v>1</v>
      </c>
      <c r="O30" s="59">
        <v>2</v>
      </c>
      <c r="P30" s="59">
        <v>0</v>
      </c>
      <c r="Q30" s="59">
        <v>1</v>
      </c>
      <c r="R30" s="59">
        <v>0</v>
      </c>
      <c r="S30" s="59">
        <v>0</v>
      </c>
      <c r="T30" s="59">
        <v>3</v>
      </c>
      <c r="U30" s="67">
        <v>3</v>
      </c>
      <c r="V30" s="67">
        <v>2</v>
      </c>
      <c r="W30" s="59">
        <v>3</v>
      </c>
      <c r="X30" s="67">
        <v>0</v>
      </c>
      <c r="Y30" s="67">
        <v>2</v>
      </c>
      <c r="Z30" s="57"/>
    </row>
    <row r="31" spans="1:26" ht="14">
      <c r="A31" s="57"/>
      <c r="B31" s="283" t="s">
        <v>63</v>
      </c>
      <c r="C31" s="67">
        <v>5</v>
      </c>
      <c r="D31" s="67">
        <v>23</v>
      </c>
      <c r="E31" s="67">
        <v>12</v>
      </c>
      <c r="F31" s="67">
        <v>13</v>
      </c>
      <c r="G31" s="67">
        <v>134</v>
      </c>
      <c r="H31" s="67">
        <v>9</v>
      </c>
      <c r="I31" s="67">
        <v>9</v>
      </c>
      <c r="J31" s="59">
        <v>10</v>
      </c>
      <c r="K31" s="59">
        <v>1</v>
      </c>
      <c r="L31" s="59">
        <v>4</v>
      </c>
      <c r="M31" s="59">
        <v>9</v>
      </c>
      <c r="N31" s="59">
        <v>4</v>
      </c>
      <c r="O31" s="59">
        <v>8</v>
      </c>
      <c r="P31" s="59">
        <v>5</v>
      </c>
      <c r="Q31" s="59">
        <v>0</v>
      </c>
      <c r="R31" s="59">
        <v>4</v>
      </c>
      <c r="S31" s="59">
        <v>11</v>
      </c>
      <c r="T31" s="59">
        <v>2</v>
      </c>
      <c r="U31" s="67">
        <v>3</v>
      </c>
      <c r="V31" s="67">
        <v>12</v>
      </c>
      <c r="W31" s="59">
        <v>9</v>
      </c>
      <c r="X31" s="67">
        <v>3</v>
      </c>
      <c r="Y31" s="67">
        <v>5</v>
      </c>
      <c r="Z31" s="57"/>
    </row>
    <row r="32" spans="1:26" ht="16">
      <c r="A32" s="57"/>
      <c r="B32" s="283" t="s">
        <v>96</v>
      </c>
      <c r="C32" s="67">
        <v>1</v>
      </c>
      <c r="D32" s="67">
        <v>2</v>
      </c>
      <c r="E32" s="67">
        <v>5</v>
      </c>
      <c r="F32" s="67">
        <v>4</v>
      </c>
      <c r="G32" s="67">
        <v>3</v>
      </c>
      <c r="H32" s="67">
        <v>7</v>
      </c>
      <c r="I32" s="67">
        <v>5</v>
      </c>
      <c r="J32" s="59">
        <v>2</v>
      </c>
      <c r="K32" s="59">
        <v>3</v>
      </c>
      <c r="L32" s="59">
        <v>3</v>
      </c>
      <c r="M32" s="59">
        <v>3</v>
      </c>
      <c r="N32" s="59">
        <v>3</v>
      </c>
      <c r="O32" s="59">
        <v>0</v>
      </c>
      <c r="P32" s="59">
        <v>0</v>
      </c>
      <c r="Q32" s="59">
        <v>2</v>
      </c>
      <c r="R32" s="59">
        <v>0</v>
      </c>
      <c r="S32" s="59">
        <v>0</v>
      </c>
      <c r="T32" s="59">
        <v>0</v>
      </c>
      <c r="U32" s="67">
        <v>5</v>
      </c>
      <c r="V32" s="67">
        <v>6</v>
      </c>
      <c r="W32" s="59">
        <v>1</v>
      </c>
      <c r="X32" s="67">
        <v>3</v>
      </c>
      <c r="Y32" s="67">
        <v>4</v>
      </c>
      <c r="Z32" s="57"/>
    </row>
    <row r="33" spans="1:26" ht="14">
      <c r="A33" s="57"/>
      <c r="B33" s="283" t="s">
        <v>65</v>
      </c>
      <c r="C33" s="67">
        <v>12</v>
      </c>
      <c r="D33" s="67">
        <v>17</v>
      </c>
      <c r="E33" s="67">
        <v>22</v>
      </c>
      <c r="F33" s="67">
        <v>13</v>
      </c>
      <c r="G33" s="67">
        <v>21</v>
      </c>
      <c r="H33" s="67">
        <v>15</v>
      </c>
      <c r="I33" s="67">
        <v>13</v>
      </c>
      <c r="J33" s="59">
        <v>6</v>
      </c>
      <c r="K33" s="59">
        <v>13</v>
      </c>
      <c r="L33" s="59">
        <v>14</v>
      </c>
      <c r="M33" s="59">
        <v>11</v>
      </c>
      <c r="N33" s="59">
        <v>18</v>
      </c>
      <c r="O33" s="59">
        <v>4</v>
      </c>
      <c r="P33" s="59">
        <v>7</v>
      </c>
      <c r="Q33" s="59">
        <v>14</v>
      </c>
      <c r="R33" s="59">
        <v>15</v>
      </c>
      <c r="S33" s="59">
        <v>19</v>
      </c>
      <c r="T33" s="59">
        <v>14</v>
      </c>
      <c r="U33" s="67">
        <v>19</v>
      </c>
      <c r="V33" s="67">
        <v>17</v>
      </c>
      <c r="W33" s="59">
        <v>35</v>
      </c>
      <c r="X33" s="67">
        <v>16</v>
      </c>
      <c r="Y33" s="67">
        <v>26</v>
      </c>
      <c r="Z33" s="57"/>
    </row>
    <row r="34" spans="1:26" ht="14">
      <c r="A34" s="57"/>
      <c r="B34" s="283" t="s">
        <v>66</v>
      </c>
      <c r="C34" s="67">
        <v>10</v>
      </c>
      <c r="D34" s="67">
        <v>11</v>
      </c>
      <c r="E34" s="67">
        <v>5</v>
      </c>
      <c r="F34" s="67">
        <v>13</v>
      </c>
      <c r="G34" s="67">
        <v>23</v>
      </c>
      <c r="H34" s="67">
        <v>17</v>
      </c>
      <c r="I34" s="67">
        <v>18</v>
      </c>
      <c r="J34" s="59">
        <v>26</v>
      </c>
      <c r="K34" s="59">
        <v>14</v>
      </c>
      <c r="L34" s="59">
        <v>12</v>
      </c>
      <c r="M34" s="59">
        <v>5</v>
      </c>
      <c r="N34" s="59">
        <v>8</v>
      </c>
      <c r="O34" s="59">
        <v>9</v>
      </c>
      <c r="P34" s="59">
        <v>9</v>
      </c>
      <c r="Q34" s="59">
        <v>19</v>
      </c>
      <c r="R34" s="59">
        <v>8</v>
      </c>
      <c r="S34" s="59">
        <v>18</v>
      </c>
      <c r="T34" s="59">
        <v>11</v>
      </c>
      <c r="U34" s="67">
        <v>13</v>
      </c>
      <c r="V34" s="67">
        <v>25</v>
      </c>
      <c r="W34" s="59">
        <v>21</v>
      </c>
      <c r="X34" s="67">
        <v>25</v>
      </c>
      <c r="Y34" s="67">
        <v>28</v>
      </c>
      <c r="Z34" s="57"/>
    </row>
    <row r="35" spans="1:26" ht="14">
      <c r="A35" s="57"/>
      <c r="B35" s="285" t="s">
        <v>67</v>
      </c>
      <c r="C35" s="68"/>
      <c r="D35" s="67"/>
      <c r="E35" s="67"/>
      <c r="F35" s="67"/>
      <c r="G35" s="67"/>
      <c r="H35" s="67"/>
      <c r="I35" s="67"/>
      <c r="J35" s="67"/>
      <c r="K35" s="67"/>
      <c r="L35" s="67"/>
      <c r="M35" s="67"/>
      <c r="N35" s="67"/>
      <c r="O35" s="69">
        <v>200</v>
      </c>
      <c r="P35" s="69">
        <v>170</v>
      </c>
      <c r="Q35" s="69">
        <v>167</v>
      </c>
      <c r="R35" s="69">
        <v>184</v>
      </c>
      <c r="S35" s="69">
        <v>184</v>
      </c>
      <c r="T35" s="69">
        <v>170</v>
      </c>
      <c r="U35" s="69">
        <v>172</v>
      </c>
      <c r="V35" s="69">
        <v>218</v>
      </c>
      <c r="W35" s="69">
        <v>219</v>
      </c>
      <c r="X35" s="69">
        <v>177</v>
      </c>
      <c r="Y35" s="69">
        <v>177</v>
      </c>
      <c r="Z35" s="57"/>
    </row>
    <row r="36" spans="1:26" s="2" customFormat="1" ht="27.75" customHeight="1">
      <c r="A36" s="58"/>
      <c r="B36" s="284" t="s">
        <v>97</v>
      </c>
      <c r="C36" s="70">
        <v>209</v>
      </c>
      <c r="D36" s="69">
        <v>214</v>
      </c>
      <c r="E36" s="69">
        <v>227</v>
      </c>
      <c r="F36" s="69">
        <v>244</v>
      </c>
      <c r="G36" s="69">
        <v>407</v>
      </c>
      <c r="H36" s="69">
        <v>299</v>
      </c>
      <c r="I36" s="69">
        <v>231</v>
      </c>
      <c r="J36" s="60">
        <v>241</v>
      </c>
      <c r="K36" s="60">
        <v>196</v>
      </c>
      <c r="L36" s="60">
        <v>199</v>
      </c>
      <c r="M36" s="60">
        <v>196</v>
      </c>
      <c r="N36" s="60">
        <v>193</v>
      </c>
      <c r="O36" s="72">
        <v>0.41</v>
      </c>
      <c r="P36" s="72">
        <v>0.38235294117647056</v>
      </c>
      <c r="Q36" s="72">
        <v>0.3473053892215569</v>
      </c>
      <c r="R36" s="72">
        <v>0.36956521739130432</v>
      </c>
      <c r="S36" s="72">
        <v>0.38043478260869568</v>
      </c>
      <c r="T36" s="72">
        <v>0.35294117647058826</v>
      </c>
      <c r="U36" s="72">
        <v>0.29651162790697677</v>
      </c>
      <c r="V36" s="72">
        <v>0.28899082568807338</v>
      </c>
      <c r="W36" s="72">
        <v>0.28310502283105021</v>
      </c>
      <c r="X36" s="72">
        <v>0.2711864406779661</v>
      </c>
      <c r="Y36" s="72">
        <v>0.29378531073446329</v>
      </c>
      <c r="Z36" s="58"/>
    </row>
    <row r="37" spans="1:26" ht="6" customHeight="1">
      <c r="A37" s="57"/>
      <c r="B37" s="282"/>
      <c r="C37" s="71">
        <v>0.31100478468899523</v>
      </c>
      <c r="D37" s="71">
        <v>0.23364485981308411</v>
      </c>
      <c r="E37" s="72">
        <v>0.25110132158590309</v>
      </c>
      <c r="F37" s="72">
        <v>0.27459016393442626</v>
      </c>
      <c r="G37" s="72">
        <v>0.20393120393120392</v>
      </c>
      <c r="H37" s="72">
        <v>0.26576576576576577</v>
      </c>
      <c r="I37" s="72">
        <v>0.30735930735930733</v>
      </c>
      <c r="J37" s="72">
        <v>0.24481327800829875</v>
      </c>
      <c r="K37" s="72">
        <v>0.40306122448979592</v>
      </c>
      <c r="L37" s="72">
        <v>0.28855721393034828</v>
      </c>
      <c r="M37" s="72">
        <v>0.39175257731958762</v>
      </c>
      <c r="N37" s="72">
        <v>0.31794871794871793</v>
      </c>
      <c r="O37" s="72"/>
      <c r="P37" s="72"/>
      <c r="Q37" s="72"/>
      <c r="R37" s="72"/>
      <c r="S37" s="72"/>
      <c r="T37" s="72"/>
      <c r="U37" s="72"/>
      <c r="V37" s="72"/>
      <c r="W37" s="61"/>
      <c r="X37" s="57"/>
      <c r="Y37" s="57"/>
      <c r="Z37" s="57"/>
    </row>
    <row r="38" spans="1:26" ht="14">
      <c r="A38" s="57"/>
      <c r="B38" s="281" t="s">
        <v>100</v>
      </c>
      <c r="C38" s="68"/>
      <c r="D38" s="67"/>
      <c r="E38" s="67"/>
      <c r="F38" s="67"/>
      <c r="G38" s="67"/>
      <c r="H38" s="67"/>
      <c r="I38" s="67"/>
      <c r="J38" s="67"/>
      <c r="K38" s="67"/>
      <c r="L38" s="67"/>
      <c r="M38" s="67"/>
      <c r="N38" s="67"/>
      <c r="O38" s="67"/>
      <c r="P38" s="67"/>
      <c r="Q38" s="67"/>
      <c r="R38" s="67"/>
      <c r="S38" s="67"/>
      <c r="T38" s="67"/>
      <c r="U38" s="67"/>
      <c r="V38" s="67"/>
      <c r="W38" s="59"/>
      <c r="X38" s="57"/>
      <c r="Y38" s="57"/>
      <c r="Z38" s="57"/>
    </row>
    <row r="39" spans="1:26" ht="14">
      <c r="A39" s="57"/>
      <c r="B39" s="282" t="s">
        <v>88</v>
      </c>
      <c r="C39" s="68"/>
      <c r="D39" s="67"/>
      <c r="E39" s="67"/>
      <c r="F39" s="67"/>
      <c r="G39" s="67"/>
      <c r="H39" s="67"/>
      <c r="I39" s="67"/>
      <c r="J39" s="67"/>
      <c r="K39" s="67"/>
      <c r="L39" s="67"/>
      <c r="M39" s="67"/>
      <c r="N39" s="67"/>
      <c r="O39" s="67">
        <v>236</v>
      </c>
      <c r="P39" s="67">
        <v>208</v>
      </c>
      <c r="Q39" s="67">
        <v>195</v>
      </c>
      <c r="R39" s="67">
        <v>203</v>
      </c>
      <c r="S39" s="67">
        <v>186</v>
      </c>
      <c r="T39" s="67">
        <v>211</v>
      </c>
      <c r="U39" s="67">
        <v>216</v>
      </c>
      <c r="V39" s="67">
        <v>281</v>
      </c>
      <c r="W39" s="59">
        <v>260</v>
      </c>
      <c r="X39" s="67">
        <v>270</v>
      </c>
      <c r="Y39" s="67">
        <v>235</v>
      </c>
      <c r="Z39" s="57"/>
    </row>
    <row r="40" spans="1:26" ht="13.5" customHeight="1">
      <c r="A40" s="57"/>
      <c r="B40" s="282" t="s">
        <v>89</v>
      </c>
      <c r="C40" s="67">
        <v>202</v>
      </c>
      <c r="D40" s="67">
        <v>201</v>
      </c>
      <c r="E40" s="67">
        <v>213</v>
      </c>
      <c r="F40" s="67">
        <v>261</v>
      </c>
      <c r="G40" s="67">
        <v>263</v>
      </c>
      <c r="H40" s="67">
        <v>242</v>
      </c>
      <c r="I40" s="59">
        <v>262</v>
      </c>
      <c r="J40" s="65">
        <v>226</v>
      </c>
      <c r="K40" s="65">
        <v>272</v>
      </c>
      <c r="L40" s="65">
        <v>268</v>
      </c>
      <c r="M40" s="65">
        <v>256</v>
      </c>
      <c r="N40" s="65">
        <v>210</v>
      </c>
      <c r="O40" s="65">
        <v>61</v>
      </c>
      <c r="P40" s="65">
        <v>51</v>
      </c>
      <c r="Q40" s="65">
        <v>49</v>
      </c>
      <c r="R40" s="65">
        <v>37</v>
      </c>
      <c r="S40" s="65">
        <v>41</v>
      </c>
      <c r="T40" s="65">
        <v>45</v>
      </c>
      <c r="U40" s="67">
        <v>49</v>
      </c>
      <c r="V40" s="67">
        <v>37</v>
      </c>
      <c r="W40" s="62">
        <v>37</v>
      </c>
      <c r="X40" s="67">
        <v>48</v>
      </c>
      <c r="Y40" s="67">
        <v>32</v>
      </c>
      <c r="Z40" s="57"/>
    </row>
    <row r="41" spans="1:26" ht="14">
      <c r="A41" s="57"/>
      <c r="B41" s="282" t="s">
        <v>90</v>
      </c>
      <c r="C41" s="67">
        <v>68</v>
      </c>
      <c r="D41" s="67">
        <v>65</v>
      </c>
      <c r="E41" s="67">
        <v>77</v>
      </c>
      <c r="F41" s="67">
        <v>60</v>
      </c>
      <c r="G41" s="67">
        <v>48</v>
      </c>
      <c r="H41" s="67">
        <v>75</v>
      </c>
      <c r="I41" s="59">
        <v>67</v>
      </c>
      <c r="J41" s="65">
        <v>59</v>
      </c>
      <c r="K41" s="65">
        <v>51</v>
      </c>
      <c r="L41" s="65">
        <v>67</v>
      </c>
      <c r="M41" s="65">
        <v>59</v>
      </c>
      <c r="N41" s="65">
        <v>49</v>
      </c>
      <c r="O41" s="65">
        <v>117</v>
      </c>
      <c r="P41" s="65">
        <v>89</v>
      </c>
      <c r="Q41" s="65">
        <v>106</v>
      </c>
      <c r="R41" s="65">
        <v>104</v>
      </c>
      <c r="S41" s="65">
        <v>92</v>
      </c>
      <c r="T41" s="65">
        <v>100</v>
      </c>
      <c r="U41" s="67">
        <v>112</v>
      </c>
      <c r="V41" s="67">
        <v>103</v>
      </c>
      <c r="W41" s="62">
        <v>100</v>
      </c>
      <c r="X41" s="67">
        <v>113</v>
      </c>
      <c r="Y41" s="67">
        <v>107</v>
      </c>
      <c r="Z41" s="57"/>
    </row>
    <row r="42" spans="1:26" ht="16">
      <c r="A42" s="57"/>
      <c r="B42" s="282" t="s">
        <v>91</v>
      </c>
      <c r="C42" s="67">
        <v>103</v>
      </c>
      <c r="D42" s="67">
        <v>88</v>
      </c>
      <c r="E42" s="67">
        <v>102</v>
      </c>
      <c r="F42" s="67">
        <v>145</v>
      </c>
      <c r="G42" s="67">
        <v>148</v>
      </c>
      <c r="H42" s="67">
        <v>136</v>
      </c>
      <c r="I42" s="59">
        <v>126</v>
      </c>
      <c r="J42" s="65">
        <v>112</v>
      </c>
      <c r="K42" s="65">
        <v>128</v>
      </c>
      <c r="L42" s="65">
        <v>161</v>
      </c>
      <c r="M42" s="65">
        <v>148</v>
      </c>
      <c r="N42" s="65">
        <v>126</v>
      </c>
      <c r="O42" s="65">
        <v>61</v>
      </c>
      <c r="P42" s="65">
        <v>60</v>
      </c>
      <c r="Q42" s="65">
        <v>41</v>
      </c>
      <c r="R42" s="65">
        <v>53</v>
      </c>
      <c r="S42" s="65">
        <v>52</v>
      </c>
      <c r="T42" s="65">
        <v>48</v>
      </c>
      <c r="U42" s="67">
        <v>135</v>
      </c>
      <c r="V42" s="67">
        <v>52</v>
      </c>
      <c r="W42" s="62">
        <v>55</v>
      </c>
      <c r="X42" s="67">
        <v>78</v>
      </c>
      <c r="Y42" s="67">
        <v>27</v>
      </c>
      <c r="Z42" s="57"/>
    </row>
    <row r="43" spans="1:26" ht="16">
      <c r="A43" s="57"/>
      <c r="B43" s="282" t="s">
        <v>99</v>
      </c>
      <c r="C43" s="67">
        <v>62</v>
      </c>
      <c r="D43" s="67">
        <v>76</v>
      </c>
      <c r="E43" s="67">
        <v>146</v>
      </c>
      <c r="F43" s="67">
        <v>78</v>
      </c>
      <c r="G43" s="67">
        <v>66</v>
      </c>
      <c r="H43" s="67">
        <v>67</v>
      </c>
      <c r="I43" s="59">
        <v>66</v>
      </c>
      <c r="J43" s="65">
        <v>58</v>
      </c>
      <c r="K43" s="65">
        <v>56</v>
      </c>
      <c r="L43" s="65">
        <v>57</v>
      </c>
      <c r="M43" s="65">
        <v>45</v>
      </c>
      <c r="N43" s="65">
        <v>53</v>
      </c>
      <c r="O43" s="65">
        <v>61</v>
      </c>
      <c r="P43" s="65">
        <v>40</v>
      </c>
      <c r="Q43" s="65">
        <v>29</v>
      </c>
      <c r="R43" s="65">
        <v>29</v>
      </c>
      <c r="S43" s="65">
        <v>20</v>
      </c>
      <c r="T43" s="65">
        <v>25</v>
      </c>
      <c r="U43" s="67">
        <v>32</v>
      </c>
      <c r="V43" s="67">
        <v>27</v>
      </c>
      <c r="W43" s="62">
        <v>32</v>
      </c>
      <c r="X43" s="67">
        <v>30</v>
      </c>
      <c r="Y43" s="67">
        <v>35</v>
      </c>
      <c r="Z43" s="57"/>
    </row>
    <row r="44" spans="1:26" ht="16">
      <c r="A44" s="57"/>
      <c r="B44" s="282" t="s">
        <v>93</v>
      </c>
      <c r="C44" s="67">
        <v>52</v>
      </c>
      <c r="D44" s="67">
        <v>46</v>
      </c>
      <c r="E44" s="67">
        <v>71</v>
      </c>
      <c r="F44" s="67">
        <v>96</v>
      </c>
      <c r="G44" s="67">
        <v>77</v>
      </c>
      <c r="H44" s="67">
        <v>67</v>
      </c>
      <c r="I44" s="59">
        <v>73</v>
      </c>
      <c r="J44" s="65">
        <v>50</v>
      </c>
      <c r="K44" s="65">
        <v>58</v>
      </c>
      <c r="L44" s="65">
        <v>53</v>
      </c>
      <c r="M44" s="65">
        <v>39</v>
      </c>
      <c r="N44" s="65">
        <v>41</v>
      </c>
      <c r="O44" s="65">
        <v>0</v>
      </c>
      <c r="P44" s="65">
        <v>1</v>
      </c>
      <c r="Q44" s="65">
        <v>2</v>
      </c>
      <c r="R44" s="65">
        <v>1</v>
      </c>
      <c r="S44" s="65">
        <v>0</v>
      </c>
      <c r="T44" s="65">
        <v>0</v>
      </c>
      <c r="U44" s="67">
        <v>2</v>
      </c>
      <c r="V44" s="67">
        <v>34</v>
      </c>
      <c r="W44" s="62">
        <v>0</v>
      </c>
      <c r="X44" s="67">
        <v>0</v>
      </c>
      <c r="Y44" s="67">
        <v>0</v>
      </c>
      <c r="Z44" s="57"/>
    </row>
    <row r="45" spans="1:26" ht="14">
      <c r="A45" s="57"/>
      <c r="B45" s="282" t="s">
        <v>95</v>
      </c>
      <c r="C45" s="67">
        <v>1</v>
      </c>
      <c r="D45" s="67">
        <v>2</v>
      </c>
      <c r="E45" s="68">
        <v>2</v>
      </c>
      <c r="F45" s="68">
        <v>1</v>
      </c>
      <c r="G45" s="68">
        <v>2</v>
      </c>
      <c r="H45" s="68" t="s">
        <v>94</v>
      </c>
      <c r="I45" s="59">
        <v>2</v>
      </c>
      <c r="J45" s="65">
        <v>53</v>
      </c>
      <c r="K45" s="65">
        <v>0</v>
      </c>
      <c r="L45" s="65">
        <v>0</v>
      </c>
      <c r="M45" s="65">
        <v>2</v>
      </c>
      <c r="N45" s="65">
        <v>0</v>
      </c>
      <c r="O45" s="65">
        <v>21</v>
      </c>
      <c r="P45" s="65">
        <v>17</v>
      </c>
      <c r="Q45" s="65">
        <v>26</v>
      </c>
      <c r="R45" s="65">
        <v>17</v>
      </c>
      <c r="S45" s="65">
        <v>9</v>
      </c>
      <c r="T45" s="65">
        <v>13</v>
      </c>
      <c r="U45" s="67">
        <v>7</v>
      </c>
      <c r="V45" s="67">
        <v>12</v>
      </c>
      <c r="W45" s="62">
        <v>11</v>
      </c>
      <c r="X45" s="67">
        <v>13</v>
      </c>
      <c r="Y45" s="67">
        <v>8</v>
      </c>
      <c r="Z45" s="57"/>
    </row>
    <row r="46" spans="1:26" ht="14">
      <c r="A46" s="57"/>
      <c r="B46" s="282" t="s">
        <v>62</v>
      </c>
      <c r="C46" s="67">
        <v>28</v>
      </c>
      <c r="D46" s="67">
        <v>32</v>
      </c>
      <c r="E46" s="67">
        <v>17</v>
      </c>
      <c r="F46" s="67">
        <v>29</v>
      </c>
      <c r="G46" s="67">
        <v>22</v>
      </c>
      <c r="H46" s="67">
        <v>28</v>
      </c>
      <c r="I46" s="59">
        <v>34</v>
      </c>
      <c r="J46" s="65">
        <v>26</v>
      </c>
      <c r="K46" s="65">
        <v>29</v>
      </c>
      <c r="L46" s="65">
        <v>26</v>
      </c>
      <c r="M46" s="65">
        <v>21</v>
      </c>
      <c r="N46" s="65">
        <v>21</v>
      </c>
      <c r="O46" s="65">
        <v>6</v>
      </c>
      <c r="P46" s="65">
        <v>4</v>
      </c>
      <c r="Q46" s="65">
        <v>7</v>
      </c>
      <c r="R46" s="65">
        <v>4</v>
      </c>
      <c r="S46" s="65">
        <v>3</v>
      </c>
      <c r="T46" s="65">
        <v>6</v>
      </c>
      <c r="U46" s="67">
        <v>5</v>
      </c>
      <c r="V46" s="67">
        <v>4</v>
      </c>
      <c r="W46" s="62">
        <v>5</v>
      </c>
      <c r="X46" s="67">
        <v>3</v>
      </c>
      <c r="Y46" s="67">
        <v>10</v>
      </c>
      <c r="Z46" s="57"/>
    </row>
    <row r="47" spans="1:26" ht="14">
      <c r="A47" s="57"/>
      <c r="B47" s="282" t="s">
        <v>63</v>
      </c>
      <c r="C47" s="67">
        <v>6</v>
      </c>
      <c r="D47" s="67">
        <v>6</v>
      </c>
      <c r="E47" s="67">
        <v>9</v>
      </c>
      <c r="F47" s="67">
        <v>13</v>
      </c>
      <c r="G47" s="67">
        <v>6</v>
      </c>
      <c r="H47" s="67">
        <v>24</v>
      </c>
      <c r="I47" s="59">
        <v>12</v>
      </c>
      <c r="J47" s="65">
        <v>4</v>
      </c>
      <c r="K47" s="65">
        <v>9</v>
      </c>
      <c r="L47" s="65">
        <v>5</v>
      </c>
      <c r="M47" s="65">
        <v>4</v>
      </c>
      <c r="N47" s="65">
        <v>3</v>
      </c>
      <c r="O47" s="65">
        <v>20</v>
      </c>
      <c r="P47" s="65">
        <v>8</v>
      </c>
      <c r="Q47" s="65">
        <v>8</v>
      </c>
      <c r="R47" s="65">
        <v>14</v>
      </c>
      <c r="S47" s="65">
        <v>25</v>
      </c>
      <c r="T47" s="65">
        <v>17</v>
      </c>
      <c r="U47" s="67">
        <v>15</v>
      </c>
      <c r="V47" s="67">
        <v>22</v>
      </c>
      <c r="W47" s="62">
        <v>13</v>
      </c>
      <c r="X47" s="67">
        <v>11</v>
      </c>
      <c r="Y47" s="67">
        <v>16</v>
      </c>
      <c r="Z47" s="57"/>
    </row>
    <row r="48" spans="1:26" ht="16">
      <c r="A48" s="57"/>
      <c r="B48" s="282" t="s">
        <v>96</v>
      </c>
      <c r="C48" s="67">
        <v>17</v>
      </c>
      <c r="D48" s="67">
        <v>47</v>
      </c>
      <c r="E48" s="67">
        <v>34</v>
      </c>
      <c r="F48" s="67">
        <v>31</v>
      </c>
      <c r="G48" s="67">
        <v>200</v>
      </c>
      <c r="H48" s="67">
        <v>20</v>
      </c>
      <c r="I48" s="59">
        <v>28</v>
      </c>
      <c r="J48" s="65">
        <v>28</v>
      </c>
      <c r="K48" s="65">
        <v>19</v>
      </c>
      <c r="L48" s="65">
        <v>19</v>
      </c>
      <c r="M48" s="65">
        <v>17</v>
      </c>
      <c r="N48" s="65">
        <v>15</v>
      </c>
      <c r="O48" s="65">
        <v>7</v>
      </c>
      <c r="P48" s="65">
        <v>5</v>
      </c>
      <c r="Q48" s="65">
        <v>6</v>
      </c>
      <c r="R48" s="65">
        <v>9</v>
      </c>
      <c r="S48" s="65">
        <v>8</v>
      </c>
      <c r="T48" s="65">
        <v>8</v>
      </c>
      <c r="U48" s="67">
        <v>22</v>
      </c>
      <c r="V48" s="67">
        <v>17</v>
      </c>
      <c r="W48" s="62">
        <v>10</v>
      </c>
      <c r="X48" s="67">
        <v>23</v>
      </c>
      <c r="Y48" s="67">
        <v>20</v>
      </c>
      <c r="Z48" s="57"/>
    </row>
    <row r="49" spans="1:26" ht="14">
      <c r="A49" s="57"/>
      <c r="B49" s="282" t="s">
        <v>65</v>
      </c>
      <c r="C49" s="67">
        <v>13</v>
      </c>
      <c r="D49" s="67">
        <v>13</v>
      </c>
      <c r="E49" s="67">
        <v>16</v>
      </c>
      <c r="F49" s="67">
        <v>19</v>
      </c>
      <c r="G49" s="67">
        <v>21</v>
      </c>
      <c r="H49" s="67">
        <v>21</v>
      </c>
      <c r="I49" s="59">
        <v>22</v>
      </c>
      <c r="J49" s="65">
        <v>12</v>
      </c>
      <c r="K49" s="65">
        <v>6</v>
      </c>
      <c r="L49" s="65">
        <v>12</v>
      </c>
      <c r="M49" s="65">
        <v>10</v>
      </c>
      <c r="N49" s="65">
        <v>18</v>
      </c>
      <c r="O49" s="65">
        <v>25</v>
      </c>
      <c r="P49" s="65">
        <v>25</v>
      </c>
      <c r="Q49" s="65">
        <v>39</v>
      </c>
      <c r="R49" s="65">
        <v>32</v>
      </c>
      <c r="S49" s="65">
        <v>41</v>
      </c>
      <c r="T49" s="65">
        <v>38</v>
      </c>
      <c r="U49" s="67">
        <v>48</v>
      </c>
      <c r="V49" s="67">
        <v>62</v>
      </c>
      <c r="W49" s="62">
        <v>67</v>
      </c>
      <c r="X49" s="67">
        <v>41</v>
      </c>
      <c r="Y49" s="67">
        <v>52</v>
      </c>
      <c r="Z49" s="57"/>
    </row>
    <row r="50" spans="1:26" ht="14">
      <c r="A50" s="57"/>
      <c r="B50" s="282" t="s">
        <v>66</v>
      </c>
      <c r="C50" s="67">
        <v>38</v>
      </c>
      <c r="D50" s="67">
        <v>43</v>
      </c>
      <c r="E50" s="67">
        <v>63</v>
      </c>
      <c r="F50" s="67">
        <v>35</v>
      </c>
      <c r="G50" s="67">
        <v>48</v>
      </c>
      <c r="H50" s="67">
        <v>35</v>
      </c>
      <c r="I50" s="59">
        <v>41</v>
      </c>
      <c r="J50" s="65">
        <v>22</v>
      </c>
      <c r="K50" s="65">
        <v>36</v>
      </c>
      <c r="L50" s="65">
        <v>37</v>
      </c>
      <c r="M50" s="65">
        <v>26</v>
      </c>
      <c r="N50" s="65">
        <v>33</v>
      </c>
      <c r="O50" s="65">
        <v>17</v>
      </c>
      <c r="P50" s="65">
        <v>17</v>
      </c>
      <c r="Q50" s="65">
        <v>34</v>
      </c>
      <c r="R50" s="65">
        <v>18</v>
      </c>
      <c r="S50" s="65">
        <v>27</v>
      </c>
      <c r="T50" s="65">
        <v>29</v>
      </c>
      <c r="U50" s="67">
        <v>32</v>
      </c>
      <c r="V50" s="67">
        <v>45</v>
      </c>
      <c r="W50" s="62">
        <v>46</v>
      </c>
      <c r="X50" s="67">
        <v>43</v>
      </c>
      <c r="Y50" s="67">
        <v>52</v>
      </c>
      <c r="Z50" s="57"/>
    </row>
    <row r="51" spans="1:26" ht="16">
      <c r="A51" s="57"/>
      <c r="B51" s="281" t="s">
        <v>101</v>
      </c>
      <c r="C51" s="67">
        <v>19</v>
      </c>
      <c r="D51" s="67">
        <v>23</v>
      </c>
      <c r="E51" s="67">
        <v>14</v>
      </c>
      <c r="F51" s="67">
        <v>25</v>
      </c>
      <c r="G51" s="67">
        <v>41</v>
      </c>
      <c r="H51" s="67">
        <v>57</v>
      </c>
      <c r="I51" s="59">
        <v>46</v>
      </c>
      <c r="J51" s="65">
        <v>58</v>
      </c>
      <c r="K51" s="65">
        <v>46</v>
      </c>
      <c r="L51" s="65">
        <v>24</v>
      </c>
      <c r="M51" s="65">
        <v>11</v>
      </c>
      <c r="N51" s="65">
        <v>26</v>
      </c>
      <c r="O51" s="286">
        <v>632</v>
      </c>
      <c r="P51" s="286">
        <v>525</v>
      </c>
      <c r="Q51" s="286">
        <v>542</v>
      </c>
      <c r="R51" s="286">
        <v>521</v>
      </c>
      <c r="S51" s="286">
        <v>504</v>
      </c>
      <c r="T51" s="286">
        <v>540</v>
      </c>
      <c r="U51" s="286">
        <v>675</v>
      </c>
      <c r="V51" s="286">
        <v>696</v>
      </c>
      <c r="W51" s="286">
        <v>636</v>
      </c>
      <c r="X51" s="286">
        <v>673</v>
      </c>
      <c r="Y51" s="286">
        <v>594</v>
      </c>
      <c r="Z51" s="57"/>
    </row>
    <row r="52" spans="1:26" s="2" customFormat="1" ht="27.75" customHeight="1">
      <c r="A52" s="58"/>
      <c r="B52" s="284" t="s">
        <v>97</v>
      </c>
      <c r="C52" s="70">
        <v>609</v>
      </c>
      <c r="D52" s="69">
        <v>642</v>
      </c>
      <c r="E52" s="69">
        <v>764</v>
      </c>
      <c r="F52" s="69">
        <v>793</v>
      </c>
      <c r="G52" s="69">
        <v>942</v>
      </c>
      <c r="H52" s="69">
        <v>772</v>
      </c>
      <c r="I52" s="69">
        <f>SUM(I40:I51)</f>
        <v>779</v>
      </c>
      <c r="J52" s="66">
        <v>708</v>
      </c>
      <c r="K52" s="66">
        <v>710</v>
      </c>
      <c r="L52" s="66">
        <v>729</v>
      </c>
      <c r="M52" s="66">
        <v>638</v>
      </c>
      <c r="N52" s="66">
        <v>595</v>
      </c>
      <c r="O52" s="61">
        <v>0.37341772151898733</v>
      </c>
      <c r="P52" s="61">
        <v>0.3961904761904762</v>
      </c>
      <c r="Q52" s="61">
        <v>0.35977859778597787</v>
      </c>
      <c r="R52" s="61">
        <v>0.38963531669865642</v>
      </c>
      <c r="S52" s="61">
        <v>0.36904761904761907</v>
      </c>
      <c r="T52" s="61">
        <v>0.39074074074074072</v>
      </c>
      <c r="U52" s="72">
        <v>0.32</v>
      </c>
      <c r="V52" s="72">
        <v>0.40373563218390807</v>
      </c>
      <c r="W52" s="63">
        <v>0.4088050314465409</v>
      </c>
      <c r="X52" s="72">
        <v>0.40118870728083211</v>
      </c>
      <c r="Y52" s="72">
        <v>0.3956228956228956</v>
      </c>
      <c r="Z52" s="58"/>
    </row>
    <row r="53" spans="1:26" ht="6" customHeight="1">
      <c r="A53" s="57"/>
      <c r="B53" s="287"/>
      <c r="C53" s="287"/>
      <c r="D53" s="287"/>
      <c r="E53" s="287"/>
      <c r="F53" s="287"/>
      <c r="G53" s="287"/>
      <c r="H53" s="287"/>
      <c r="I53" s="287"/>
      <c r="J53" s="287"/>
      <c r="K53" s="287"/>
      <c r="L53" s="287"/>
      <c r="M53" s="287"/>
      <c r="N53" s="287"/>
      <c r="O53" s="287"/>
      <c r="P53" s="287"/>
      <c r="Q53" s="287"/>
      <c r="R53" s="287"/>
      <c r="S53" s="287"/>
      <c r="T53" s="287"/>
      <c r="U53" s="287"/>
      <c r="V53" s="287"/>
      <c r="W53" s="287"/>
      <c r="X53" s="287"/>
      <c r="Y53" s="57"/>
      <c r="Z53" s="57"/>
    </row>
    <row r="54" spans="1:26" ht="6"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spans="1:26" ht="15.75" customHeight="1">
      <c r="A55" s="57"/>
      <c r="B55" s="59" t="s">
        <v>34</v>
      </c>
      <c r="C55" s="288"/>
      <c r="D55" s="288"/>
      <c r="E55" s="288"/>
      <c r="F55" s="288"/>
      <c r="G55" s="288"/>
      <c r="H55" s="288"/>
      <c r="I55" s="288"/>
      <c r="J55" s="288"/>
      <c r="K55" s="288"/>
      <c r="L55" s="288"/>
      <c r="M55" s="288"/>
      <c r="N55" s="288"/>
      <c r="O55" s="288"/>
      <c r="P55" s="57"/>
      <c r="Q55" s="57"/>
      <c r="R55" s="57"/>
      <c r="S55" s="57"/>
      <c r="T55" s="57"/>
      <c r="U55" s="57"/>
      <c r="V55" s="57"/>
      <c r="W55" s="57"/>
      <c r="X55" s="57"/>
      <c r="Y55" s="57"/>
      <c r="Z55" s="57"/>
    </row>
    <row r="56" spans="1:26" ht="126" customHeight="1">
      <c r="A56" s="57"/>
      <c r="B56" s="721" t="s">
        <v>102</v>
      </c>
      <c r="C56" s="721"/>
      <c r="D56" s="721"/>
      <c r="E56" s="721"/>
      <c r="F56" s="721"/>
      <c r="G56" s="721"/>
      <c r="H56" s="721"/>
      <c r="I56" s="721"/>
      <c r="J56" s="721"/>
      <c r="K56" s="721"/>
      <c r="L56" s="721"/>
      <c r="M56" s="721"/>
      <c r="N56" s="721"/>
      <c r="O56" s="721"/>
      <c r="P56" s="721"/>
      <c r="Q56" s="721"/>
      <c r="R56" s="721"/>
      <c r="S56" s="721"/>
      <c r="T56" s="721"/>
      <c r="U56" s="721"/>
      <c r="V56" s="721"/>
      <c r="W56" s="721"/>
      <c r="X56" s="721"/>
      <c r="Y56" s="721"/>
      <c r="Z56" s="721"/>
    </row>
    <row r="57" spans="1:26" ht="6" customHeight="1">
      <c r="A57" s="57"/>
      <c r="B57" s="333"/>
      <c r="C57" s="333"/>
      <c r="D57" s="333"/>
      <c r="E57" s="333"/>
      <c r="F57" s="333"/>
      <c r="G57" s="333"/>
      <c r="H57" s="333"/>
      <c r="I57" s="333"/>
      <c r="J57" s="333"/>
      <c r="K57" s="333"/>
      <c r="L57" s="333"/>
      <c r="M57" s="333"/>
      <c r="N57" s="333"/>
      <c r="O57" s="333"/>
      <c r="P57" s="333"/>
      <c r="Q57" s="333"/>
      <c r="R57" s="333"/>
      <c r="S57" s="333"/>
      <c r="T57" s="333"/>
      <c r="U57" s="333"/>
      <c r="V57" s="333"/>
      <c r="W57" s="333"/>
      <c r="X57" s="333"/>
      <c r="Y57" s="333"/>
      <c r="Z57" s="333"/>
    </row>
    <row r="58" spans="1:26" ht="14">
      <c r="A58" s="57"/>
      <c r="B58" s="67" t="s">
        <v>36</v>
      </c>
      <c r="C58" s="57"/>
      <c r="D58" s="57"/>
      <c r="E58" s="57"/>
      <c r="F58" s="57"/>
      <c r="G58" s="57"/>
      <c r="H58" s="57"/>
      <c r="I58" s="57"/>
      <c r="J58" s="57"/>
      <c r="K58" s="57"/>
      <c r="L58" s="57"/>
      <c r="M58" s="57"/>
      <c r="N58" s="57"/>
      <c r="O58" s="57"/>
      <c r="P58" s="57"/>
      <c r="Q58" s="57"/>
      <c r="R58" s="57"/>
      <c r="S58" s="57"/>
      <c r="T58" s="57"/>
      <c r="U58" s="57"/>
      <c r="V58" s="57"/>
      <c r="W58" s="57"/>
      <c r="X58" s="57"/>
      <c r="Y58" s="57"/>
      <c r="Z58" s="57"/>
    </row>
    <row r="59" spans="1:26" ht="14">
      <c r="A59" s="379"/>
      <c r="B59" s="380" t="s">
        <v>103</v>
      </c>
      <c r="C59" s="377"/>
      <c r="D59" s="377"/>
      <c r="E59" s="377"/>
      <c r="F59" s="377"/>
      <c r="G59" s="377"/>
      <c r="H59" s="377"/>
      <c r="I59" s="377"/>
      <c r="J59" s="377"/>
      <c r="K59" s="377"/>
      <c r="L59" s="377"/>
      <c r="M59" s="377"/>
      <c r="N59" s="377"/>
      <c r="O59" s="377"/>
      <c r="P59" s="377"/>
      <c r="Q59" s="377"/>
      <c r="R59" s="278"/>
      <c r="S59" s="278"/>
      <c r="T59" s="278"/>
      <c r="U59" s="278"/>
      <c r="V59" s="278"/>
      <c r="W59" s="57"/>
      <c r="X59" s="57"/>
      <c r="Y59" s="57"/>
      <c r="Z59" s="57"/>
    </row>
    <row r="60" spans="1:26" ht="6" customHeight="1">
      <c r="A60" s="379"/>
      <c r="B60" s="377"/>
      <c r="C60" s="377"/>
      <c r="D60" s="377"/>
      <c r="E60" s="377"/>
      <c r="F60" s="377"/>
      <c r="G60" s="377"/>
      <c r="H60" s="381"/>
      <c r="I60" s="381"/>
      <c r="J60" s="377"/>
      <c r="K60" s="377"/>
      <c r="L60" s="377"/>
      <c r="M60" s="377"/>
      <c r="N60" s="377"/>
      <c r="O60" s="377"/>
      <c r="P60" s="377"/>
      <c r="Q60" s="377"/>
      <c r="R60" s="278"/>
      <c r="S60" s="278"/>
      <c r="T60" s="278"/>
      <c r="U60" s="278"/>
      <c r="V60" s="278"/>
      <c r="W60" s="57"/>
      <c r="X60" s="57"/>
      <c r="Y60" s="57"/>
      <c r="Z60" s="57"/>
    </row>
    <row r="61" spans="1:26">
      <c r="A61" s="382"/>
      <c r="B61" s="382"/>
      <c r="C61" s="382"/>
      <c r="D61" s="382"/>
      <c r="E61" s="382"/>
      <c r="F61" s="382"/>
      <c r="G61" s="382"/>
      <c r="H61" s="382"/>
      <c r="I61" s="382"/>
      <c r="J61" s="382"/>
      <c r="K61" s="382"/>
      <c r="L61" s="382"/>
      <c r="M61" s="382"/>
      <c r="N61" s="382"/>
      <c r="O61" s="382"/>
      <c r="P61" s="382"/>
      <c r="Q61" s="383"/>
    </row>
    <row r="62" spans="1:26">
      <c r="A62" s="382"/>
      <c r="B62" s="382"/>
      <c r="C62" s="382"/>
      <c r="D62" s="382"/>
      <c r="E62" s="382"/>
      <c r="F62" s="382"/>
      <c r="G62" s="382"/>
      <c r="H62" s="382"/>
      <c r="I62" s="382"/>
      <c r="J62" s="382"/>
      <c r="K62" s="382"/>
      <c r="L62" s="382"/>
      <c r="M62" s="382"/>
      <c r="N62" s="382"/>
      <c r="O62" s="382"/>
      <c r="P62" s="382"/>
      <c r="Q62" s="383"/>
    </row>
    <row r="63" spans="1:26">
      <c r="A63" s="382"/>
      <c r="B63" s="382"/>
      <c r="C63" s="382"/>
      <c r="D63" s="382"/>
      <c r="E63" s="382"/>
      <c r="F63" s="382"/>
      <c r="G63" s="382"/>
      <c r="H63" s="382"/>
      <c r="I63" s="382"/>
      <c r="J63" s="382"/>
      <c r="K63" s="382"/>
      <c r="L63" s="382"/>
      <c r="M63" s="382"/>
      <c r="N63" s="382"/>
      <c r="O63" s="382"/>
      <c r="P63" s="382"/>
      <c r="Q63" s="383"/>
    </row>
  </sheetData>
  <mergeCells count="1">
    <mergeCell ref="B56:Z56"/>
  </mergeCells>
  <phoneticPr fontId="13" type="noConversion"/>
  <hyperlinks>
    <hyperlink ref="B59" r:id="rId1" xr:uid="{F83E5531-A8A0-40E9-9A8C-2D0F831D1D9B}"/>
  </hyperlinks>
  <pageMargins left="0.75" right="0.75" top="1" bottom="1" header="0.5" footer="0.5"/>
  <pageSetup paperSize="9" scale="67"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6D22B-23E9-4983-B91D-021D6E1AB72C}">
  <sheetPr>
    <tabColor theme="4"/>
  </sheetPr>
  <dimension ref="A1:Y80"/>
  <sheetViews>
    <sheetView showGridLines="0" workbookViewId="0">
      <pane xSplit="2" ySplit="6" topLeftCell="C7" activePane="bottomRight" state="frozen"/>
      <selection pane="topRight" activeCell="C1" sqref="C1"/>
      <selection pane="bottomLeft" activeCell="A7" sqref="A7"/>
      <selection pane="bottomRight"/>
    </sheetView>
  </sheetViews>
  <sheetFormatPr baseColWidth="10" defaultColWidth="8.83203125" defaultRowHeight="15"/>
  <cols>
    <col min="1" max="1" width="1.5" style="422" customWidth="1"/>
    <col min="2" max="2" width="35.5" style="422" customWidth="1"/>
    <col min="3" max="3" width="8.83203125" style="422"/>
    <col min="4" max="4" width="9.5" style="422" customWidth="1"/>
    <col min="5" max="5" width="1.5" style="422" customWidth="1"/>
    <col min="6" max="6" width="8.83203125" style="422"/>
    <col min="7" max="7" width="9.1640625" style="422" customWidth="1"/>
    <col min="8" max="8" width="1.5" style="422" customWidth="1"/>
    <col min="9" max="9" width="8.83203125" style="422"/>
    <col min="10" max="10" width="9.1640625" style="422" customWidth="1"/>
    <col min="11" max="11" width="1.5" style="422" customWidth="1"/>
    <col min="12" max="12" width="8.83203125" style="422"/>
    <col min="13" max="13" width="9.33203125" style="422" customWidth="1"/>
    <col min="14" max="14" width="1.5" style="422" customWidth="1"/>
    <col min="15" max="16" width="9.33203125" style="422" customWidth="1"/>
    <col min="17" max="17" width="1.5" style="422" customWidth="1"/>
    <col min="18" max="19" width="9.33203125" style="422" customWidth="1"/>
    <col min="20" max="20" width="1.5" style="422" customWidth="1"/>
    <col min="21" max="21" width="10" style="422" customWidth="1"/>
    <col min="22" max="22" width="10.5" style="422" customWidth="1"/>
    <col min="23" max="23" width="1.5" style="422" customWidth="1"/>
    <col min="24" max="16384" width="8.83203125" style="422"/>
  </cols>
  <sheetData>
    <row r="1" spans="1:23" ht="6" customHeight="1">
      <c r="A1" s="421"/>
      <c r="B1" s="421"/>
      <c r="C1" s="421"/>
      <c r="D1" s="421"/>
      <c r="E1" s="421"/>
      <c r="F1" s="421"/>
      <c r="G1" s="421"/>
      <c r="H1" s="421"/>
      <c r="I1" s="421"/>
      <c r="J1" s="421"/>
      <c r="K1" s="421"/>
      <c r="L1" s="421"/>
      <c r="M1" s="421"/>
      <c r="N1" s="421"/>
      <c r="O1" s="421"/>
      <c r="P1" s="421"/>
      <c r="Q1" s="421"/>
      <c r="R1" s="421"/>
      <c r="S1" s="421"/>
      <c r="T1" s="421"/>
      <c r="U1" s="421"/>
      <c r="V1" s="421"/>
      <c r="W1" s="421"/>
    </row>
    <row r="2" spans="1:23" ht="19.5" customHeight="1">
      <c r="A2" s="421"/>
      <c r="B2" s="423" t="s">
        <v>413</v>
      </c>
      <c r="C2" s="421"/>
      <c r="D2" s="421"/>
      <c r="E2" s="421"/>
      <c r="F2" s="421"/>
      <c r="G2" s="421"/>
      <c r="H2" s="421"/>
      <c r="I2" s="421"/>
      <c r="J2" s="421"/>
      <c r="K2" s="421"/>
      <c r="L2" s="421"/>
      <c r="M2" s="421"/>
      <c r="N2" s="421"/>
      <c r="O2" s="421"/>
      <c r="P2" s="421"/>
      <c r="Q2" s="421"/>
      <c r="R2" s="421"/>
      <c r="S2" s="421"/>
      <c r="T2" s="421"/>
      <c r="U2" s="421"/>
      <c r="V2" s="421"/>
      <c r="W2" s="421"/>
    </row>
    <row r="3" spans="1:23" ht="15" customHeight="1">
      <c r="A3" s="421"/>
      <c r="B3" s="424" t="s">
        <v>104</v>
      </c>
      <c r="C3" s="421"/>
      <c r="D3" s="421"/>
      <c r="E3" s="421"/>
      <c r="F3" s="421"/>
      <c r="G3" s="421"/>
      <c r="H3" s="421"/>
      <c r="I3" s="421"/>
      <c r="J3" s="421"/>
      <c r="K3" s="421"/>
      <c r="L3" s="421"/>
      <c r="M3" s="421"/>
      <c r="N3" s="421"/>
      <c r="O3" s="421"/>
      <c r="P3" s="421"/>
      <c r="Q3" s="421"/>
      <c r="R3" s="421"/>
      <c r="S3" s="421"/>
      <c r="T3" s="421"/>
      <c r="U3" s="421"/>
      <c r="V3" s="421"/>
      <c r="W3" s="421"/>
    </row>
    <row r="4" spans="1:23" ht="6" customHeight="1">
      <c r="A4" s="421"/>
      <c r="B4" s="421"/>
      <c r="C4" s="421"/>
      <c r="D4" s="421"/>
      <c r="E4" s="421"/>
      <c r="F4" s="421"/>
      <c r="G4" s="421"/>
      <c r="H4" s="421"/>
      <c r="I4" s="421"/>
      <c r="J4" s="421"/>
      <c r="K4" s="421"/>
      <c r="L4" s="421"/>
      <c r="M4" s="421"/>
      <c r="N4" s="421"/>
      <c r="O4" s="421"/>
      <c r="P4" s="421"/>
      <c r="Q4" s="421"/>
      <c r="R4" s="421"/>
      <c r="S4" s="421"/>
      <c r="T4" s="421"/>
      <c r="U4" s="421"/>
      <c r="V4" s="421"/>
      <c r="W4" s="421"/>
    </row>
    <row r="5" spans="1:23" ht="56.25" customHeight="1">
      <c r="A5" s="425"/>
      <c r="B5" s="426"/>
      <c r="C5" s="722" t="s">
        <v>24</v>
      </c>
      <c r="D5" s="722"/>
      <c r="E5" s="427"/>
      <c r="F5" s="722" t="s">
        <v>25</v>
      </c>
      <c r="G5" s="722"/>
      <c r="H5" s="427"/>
      <c r="I5" s="722" t="s">
        <v>26</v>
      </c>
      <c r="J5" s="722"/>
      <c r="K5" s="427"/>
      <c r="L5" s="722" t="s">
        <v>27</v>
      </c>
      <c r="M5" s="722"/>
      <c r="N5" s="669"/>
      <c r="O5" s="722" t="s">
        <v>30</v>
      </c>
      <c r="P5" s="722"/>
      <c r="Q5" s="669"/>
      <c r="R5" s="722" t="s">
        <v>395</v>
      </c>
      <c r="S5" s="722"/>
      <c r="T5" s="426"/>
      <c r="U5" s="723" t="s">
        <v>397</v>
      </c>
      <c r="V5" s="723"/>
      <c r="W5" s="425"/>
    </row>
    <row r="6" spans="1:23" ht="66" customHeight="1">
      <c r="A6" s="425"/>
      <c r="B6" s="428"/>
      <c r="C6" s="431" t="s">
        <v>105</v>
      </c>
      <c r="D6" s="430" t="s">
        <v>106</v>
      </c>
      <c r="E6" s="429"/>
      <c r="F6" s="429" t="s">
        <v>105</v>
      </c>
      <c r="G6" s="430" t="s">
        <v>107</v>
      </c>
      <c r="H6" s="429"/>
      <c r="I6" s="429" t="s">
        <v>105</v>
      </c>
      <c r="J6" s="430" t="s">
        <v>107</v>
      </c>
      <c r="K6" s="429"/>
      <c r="L6" s="429" t="s">
        <v>105</v>
      </c>
      <c r="M6" s="430" t="s">
        <v>107</v>
      </c>
      <c r="N6" s="430"/>
      <c r="O6" s="430" t="s">
        <v>105</v>
      </c>
      <c r="P6" s="430" t="s">
        <v>107</v>
      </c>
      <c r="Q6" s="430"/>
      <c r="R6" s="429" t="s">
        <v>105</v>
      </c>
      <c r="S6" s="430" t="s">
        <v>107</v>
      </c>
      <c r="T6" s="428"/>
      <c r="U6" s="430" t="s">
        <v>398</v>
      </c>
      <c r="V6" s="430" t="s">
        <v>399</v>
      </c>
      <c r="W6" s="425"/>
    </row>
    <row r="7" spans="1:23">
      <c r="A7" s="425"/>
      <c r="B7" s="426" t="s">
        <v>108</v>
      </c>
      <c r="C7" s="432">
        <v>708</v>
      </c>
      <c r="D7" s="433">
        <v>124.40695835529783</v>
      </c>
      <c r="E7" s="427"/>
      <c r="F7" s="432">
        <v>695</v>
      </c>
      <c r="G7" s="433">
        <v>121.97262197262198</v>
      </c>
      <c r="H7" s="427"/>
      <c r="I7" s="432">
        <v>767</v>
      </c>
      <c r="J7" s="433">
        <v>134.57297206251064</v>
      </c>
      <c r="K7" s="427"/>
      <c r="L7" s="432">
        <v>903</v>
      </c>
      <c r="M7" s="433">
        <v>155.88128164450401</v>
      </c>
      <c r="N7" s="433"/>
      <c r="O7" s="678">
        <v>792</v>
      </c>
      <c r="P7" s="433">
        <v>136.71979519650901</v>
      </c>
      <c r="Q7" s="433"/>
      <c r="R7" s="432">
        <v>883</v>
      </c>
      <c r="S7" s="433">
        <v>150.07588775071426</v>
      </c>
      <c r="T7" s="426"/>
      <c r="U7" s="434">
        <v>13.356092554205247</v>
      </c>
      <c r="V7" s="435">
        <v>0.1148989898989899</v>
      </c>
      <c r="W7" s="425"/>
    </row>
    <row r="8" spans="1:23">
      <c r="A8" s="425"/>
      <c r="B8" s="426" t="s">
        <v>109</v>
      </c>
      <c r="C8" s="432">
        <v>328</v>
      </c>
      <c r="D8" s="433">
        <v>51.499450463181034</v>
      </c>
      <c r="E8" s="427"/>
      <c r="F8" s="432">
        <v>278</v>
      </c>
      <c r="G8" s="433">
        <v>43.396815485482357</v>
      </c>
      <c r="H8" s="427"/>
      <c r="I8" s="432">
        <v>299</v>
      </c>
      <c r="J8" s="433">
        <v>47.492884009352444</v>
      </c>
      <c r="K8" s="427"/>
      <c r="L8" s="432">
        <v>340</v>
      </c>
      <c r="M8" s="433">
        <v>53.325303170032399</v>
      </c>
      <c r="N8" s="433"/>
      <c r="O8" s="678">
        <v>388</v>
      </c>
      <c r="P8" s="433">
        <v>60.853581264625198</v>
      </c>
      <c r="Q8" s="433"/>
      <c r="R8" s="432">
        <v>394</v>
      </c>
      <c r="S8" s="433">
        <v>61.299677632152147</v>
      </c>
      <c r="T8" s="426"/>
      <c r="U8" s="434">
        <v>0.44609636752694826</v>
      </c>
      <c r="V8" s="435">
        <v>1.5463917525773196E-2</v>
      </c>
      <c r="W8" s="425"/>
    </row>
    <row r="9" spans="1:23">
      <c r="A9" s="425"/>
      <c r="B9" s="426" t="s">
        <v>110</v>
      </c>
      <c r="C9" s="432">
        <v>791</v>
      </c>
      <c r="D9" s="433">
        <v>54.033745474417657</v>
      </c>
      <c r="E9" s="427"/>
      <c r="F9" s="432">
        <v>853</v>
      </c>
      <c r="G9" s="433">
        <v>58.011425462459201</v>
      </c>
      <c r="H9" s="427"/>
      <c r="I9" s="432">
        <v>905</v>
      </c>
      <c r="J9" s="433">
        <v>63.015934325235463</v>
      </c>
      <c r="K9" s="427"/>
      <c r="L9" s="432">
        <v>1055</v>
      </c>
      <c r="M9" s="433">
        <v>71.956823177872494</v>
      </c>
      <c r="N9" s="433"/>
      <c r="O9" s="678">
        <v>1165</v>
      </c>
      <c r="P9" s="433">
        <v>79.459430333859203</v>
      </c>
      <c r="Q9" s="433"/>
      <c r="R9" s="432">
        <v>1057</v>
      </c>
      <c r="S9" s="433">
        <v>71.406036883886486</v>
      </c>
      <c r="T9" s="426"/>
      <c r="U9" s="434">
        <v>-8.0533934499727167</v>
      </c>
      <c r="V9" s="435">
        <v>-9.27038626609442E-2</v>
      </c>
      <c r="W9" s="425"/>
    </row>
    <row r="10" spans="1:23">
      <c r="A10" s="425"/>
      <c r="B10" s="436" t="s">
        <v>111</v>
      </c>
      <c r="C10" s="437">
        <v>1827</v>
      </c>
      <c r="D10" s="438">
        <v>68.429529195850037</v>
      </c>
      <c r="E10" s="439"/>
      <c r="F10" s="437">
        <v>1826</v>
      </c>
      <c r="G10" s="438">
        <v>68.113995822142641</v>
      </c>
      <c r="H10" s="439"/>
      <c r="I10" s="437">
        <v>1971</v>
      </c>
      <c r="J10" s="438">
        <v>74.732542130565079</v>
      </c>
      <c r="K10" s="439"/>
      <c r="L10" s="437">
        <v>2298</v>
      </c>
      <c r="M10" s="438">
        <v>85.649114437354598</v>
      </c>
      <c r="N10" s="438"/>
      <c r="O10" s="679">
        <v>2345</v>
      </c>
      <c r="P10" s="438">
        <v>87.400858727413706</v>
      </c>
      <c r="Q10" s="438"/>
      <c r="R10" s="437">
        <v>2334</v>
      </c>
      <c r="S10" s="438">
        <v>86.081626330503283</v>
      </c>
      <c r="T10" s="436"/>
      <c r="U10" s="440">
        <v>-1.3192323969104223</v>
      </c>
      <c r="V10" s="441">
        <v>-4.690831556503198E-3</v>
      </c>
      <c r="W10" s="425"/>
    </row>
    <row r="11" spans="1:23" ht="6" customHeight="1">
      <c r="A11" s="425"/>
      <c r="B11" s="426"/>
      <c r="C11" s="432"/>
      <c r="D11" s="433"/>
      <c r="E11" s="427"/>
      <c r="F11" s="432"/>
      <c r="G11" s="433"/>
      <c r="H11" s="427"/>
      <c r="I11" s="432"/>
      <c r="J11" s="433"/>
      <c r="K11" s="427"/>
      <c r="L11" s="432"/>
      <c r="M11" s="433"/>
      <c r="N11" s="433"/>
      <c r="O11" s="678"/>
      <c r="P11" s="433"/>
      <c r="Q11" s="433"/>
      <c r="R11" s="432"/>
      <c r="S11" s="433"/>
      <c r="T11" s="426"/>
      <c r="U11" s="434"/>
      <c r="V11" s="435"/>
      <c r="W11" s="425"/>
    </row>
    <row r="12" spans="1:23">
      <c r="A12" s="425"/>
      <c r="B12" s="426" t="s">
        <v>112</v>
      </c>
      <c r="C12" s="432">
        <v>646</v>
      </c>
      <c r="D12" s="433">
        <v>60.566285392837045</v>
      </c>
      <c r="E12" s="427"/>
      <c r="F12" s="432">
        <v>562</v>
      </c>
      <c r="G12" s="433">
        <v>52.543006731488404</v>
      </c>
      <c r="H12" s="427"/>
      <c r="I12" s="432">
        <v>533</v>
      </c>
      <c r="J12" s="433">
        <v>48.541434622519766</v>
      </c>
      <c r="K12" s="427"/>
      <c r="L12" s="432">
        <v>525</v>
      </c>
      <c r="M12" s="433">
        <v>47.349979481675597</v>
      </c>
      <c r="N12" s="433"/>
      <c r="O12" s="678">
        <v>532</v>
      </c>
      <c r="P12" s="433">
        <v>47.981312541431201</v>
      </c>
      <c r="Q12" s="433"/>
      <c r="R12" s="432">
        <v>567</v>
      </c>
      <c r="S12" s="433">
        <v>50.647836747819326</v>
      </c>
      <c r="T12" s="426"/>
      <c r="U12" s="434">
        <v>2.6665242063881252</v>
      </c>
      <c r="V12" s="435">
        <v>6.5789473684210523E-2</v>
      </c>
      <c r="W12" s="425"/>
    </row>
    <row r="13" spans="1:23">
      <c r="A13" s="425"/>
      <c r="B13" s="426" t="s">
        <v>113</v>
      </c>
      <c r="C13" s="432">
        <v>206</v>
      </c>
      <c r="D13" s="433">
        <v>41.199999999999996</v>
      </c>
      <c r="E13" s="427"/>
      <c r="F13" s="432">
        <v>186</v>
      </c>
      <c r="G13" s="433">
        <v>37.214885954381749</v>
      </c>
      <c r="H13" s="427"/>
      <c r="I13" s="432">
        <v>215</v>
      </c>
      <c r="J13" s="433">
        <v>42.929509744998711</v>
      </c>
      <c r="K13" s="427"/>
      <c r="L13" s="432">
        <v>206</v>
      </c>
      <c r="M13" s="433">
        <v>40.951587669198602</v>
      </c>
      <c r="N13" s="433"/>
      <c r="O13" s="678">
        <v>210</v>
      </c>
      <c r="P13" s="433">
        <v>41.746764128794702</v>
      </c>
      <c r="Q13" s="433"/>
      <c r="R13" s="432">
        <v>157</v>
      </c>
      <c r="S13" s="433">
        <v>31.085230951386265</v>
      </c>
      <c r="T13" s="426"/>
      <c r="U13" s="434">
        <v>-10.661533177408437</v>
      </c>
      <c r="V13" s="435">
        <v>-0.25238095238095237</v>
      </c>
      <c r="W13" s="425"/>
    </row>
    <row r="14" spans="1:23">
      <c r="A14" s="425"/>
      <c r="B14" s="426" t="s">
        <v>405</v>
      </c>
      <c r="C14" s="432">
        <v>3185</v>
      </c>
      <c r="D14" s="433">
        <v>112.31794618612689</v>
      </c>
      <c r="E14" s="427"/>
      <c r="F14" s="432">
        <v>3051</v>
      </c>
      <c r="G14" s="433">
        <v>107.11652564687709</v>
      </c>
      <c r="H14" s="427"/>
      <c r="I14" s="432">
        <v>3659</v>
      </c>
      <c r="J14" s="433">
        <v>127.42353106467155</v>
      </c>
      <c r="K14" s="427"/>
      <c r="L14" s="432" t="s">
        <v>28</v>
      </c>
      <c r="M14" s="433" t="s">
        <v>28</v>
      </c>
      <c r="N14" s="433"/>
      <c r="O14" s="678">
        <v>3331</v>
      </c>
      <c r="P14" s="433">
        <v>114.39879330050999</v>
      </c>
      <c r="Q14" s="433"/>
      <c r="R14" s="432">
        <v>3398</v>
      </c>
      <c r="S14" s="442">
        <v>115.23984164865549</v>
      </c>
      <c r="T14" s="426"/>
      <c r="U14" s="443">
        <v>0.84104834814549179</v>
      </c>
      <c r="V14" s="444">
        <v>2.0114079855899129E-2</v>
      </c>
      <c r="W14" s="425"/>
    </row>
    <row r="15" spans="1:23">
      <c r="A15" s="425"/>
      <c r="B15" s="426" t="s">
        <v>114</v>
      </c>
      <c r="C15" s="432">
        <v>974</v>
      </c>
      <c r="D15" s="433">
        <v>64.550334680893357</v>
      </c>
      <c r="E15" s="427"/>
      <c r="F15" s="432">
        <v>880</v>
      </c>
      <c r="G15" s="433">
        <v>58.066644671725506</v>
      </c>
      <c r="H15" s="427"/>
      <c r="I15" s="432">
        <v>1017</v>
      </c>
      <c r="J15" s="433">
        <v>66.648780510094909</v>
      </c>
      <c r="K15" s="427"/>
      <c r="L15" s="432">
        <v>1006</v>
      </c>
      <c r="M15" s="433">
        <v>64.882714496707493</v>
      </c>
      <c r="N15" s="433"/>
      <c r="O15" s="678">
        <v>1106</v>
      </c>
      <c r="P15" s="433">
        <v>71.332288502344397</v>
      </c>
      <c r="Q15" s="433"/>
      <c r="R15" s="432">
        <v>1121</v>
      </c>
      <c r="S15" s="433">
        <v>71.384314427209333</v>
      </c>
      <c r="T15" s="426"/>
      <c r="U15" s="434">
        <v>5.2025924864935291E-2</v>
      </c>
      <c r="V15" s="435">
        <v>1.3562386980108499E-2</v>
      </c>
      <c r="W15" s="425"/>
    </row>
    <row r="16" spans="1:23">
      <c r="A16" s="425"/>
      <c r="B16" s="426" t="s">
        <v>115</v>
      </c>
      <c r="C16" s="432">
        <v>1555</v>
      </c>
      <c r="D16" s="433">
        <v>108.74886355689208</v>
      </c>
      <c r="E16" s="427"/>
      <c r="F16" s="432">
        <v>1235</v>
      </c>
      <c r="G16" s="433">
        <v>86.104720072509238</v>
      </c>
      <c r="H16" s="427"/>
      <c r="I16" s="432">
        <v>1560</v>
      </c>
      <c r="J16" s="433">
        <v>109.54611090226224</v>
      </c>
      <c r="K16" s="427"/>
      <c r="L16" s="432">
        <v>1275</v>
      </c>
      <c r="M16" s="433">
        <v>88.413896306795493</v>
      </c>
      <c r="N16" s="433"/>
      <c r="O16" s="678">
        <v>1283</v>
      </c>
      <c r="P16" s="433">
        <v>88.968650165975404</v>
      </c>
      <c r="Q16" s="433"/>
      <c r="R16" s="432">
        <v>1166</v>
      </c>
      <c r="S16" s="433">
        <v>80.051518575934296</v>
      </c>
      <c r="T16" s="426"/>
      <c r="U16" s="434">
        <v>-8.9171315900411088</v>
      </c>
      <c r="V16" s="435">
        <v>-9.1192517537022608E-2</v>
      </c>
      <c r="W16" s="425"/>
    </row>
    <row r="17" spans="1:23" s="690" customFormat="1">
      <c r="A17" s="446"/>
      <c r="B17" s="436" t="s">
        <v>406</v>
      </c>
      <c r="C17" s="437">
        <v>6566</v>
      </c>
      <c r="D17" s="438">
        <v>89.441636811921924</v>
      </c>
      <c r="E17" s="439"/>
      <c r="F17" s="437">
        <v>5914</v>
      </c>
      <c r="G17" s="438">
        <v>80.271462504241597</v>
      </c>
      <c r="H17" s="439"/>
      <c r="I17" s="437">
        <v>6984</v>
      </c>
      <c r="J17" s="438">
        <v>94.08141282447005</v>
      </c>
      <c r="K17" s="439"/>
      <c r="L17" s="437" t="s">
        <v>28</v>
      </c>
      <c r="M17" s="438" t="s">
        <v>116</v>
      </c>
      <c r="N17" s="438"/>
      <c r="O17" s="679">
        <v>6462</v>
      </c>
      <c r="P17" s="438">
        <v>85.975290685491302</v>
      </c>
      <c r="Q17" s="438"/>
      <c r="R17" s="437">
        <v>6409</v>
      </c>
      <c r="S17" s="437">
        <v>84.327549306419399</v>
      </c>
      <c r="T17" s="436"/>
      <c r="U17" s="448">
        <v>-1.6477413790719027</v>
      </c>
      <c r="V17" s="449">
        <v>-8.201795109873105E-3</v>
      </c>
      <c r="W17" s="446"/>
    </row>
    <row r="18" spans="1:23" ht="6" customHeight="1">
      <c r="A18" s="425"/>
      <c r="B18" s="426"/>
      <c r="C18" s="432"/>
      <c r="D18" s="433"/>
      <c r="E18" s="427"/>
      <c r="F18" s="432"/>
      <c r="G18" s="433"/>
      <c r="H18" s="427"/>
      <c r="I18" s="432"/>
      <c r="J18" s="433"/>
      <c r="K18" s="427"/>
      <c r="L18" s="432"/>
      <c r="M18" s="433"/>
      <c r="N18" s="433"/>
      <c r="O18" s="678"/>
      <c r="P18" s="433"/>
      <c r="Q18" s="433"/>
      <c r="R18" s="432"/>
      <c r="S18" s="433"/>
      <c r="T18" s="426"/>
      <c r="U18" s="434"/>
      <c r="V18" s="435"/>
      <c r="W18" s="425"/>
    </row>
    <row r="19" spans="1:23">
      <c r="A19" s="425"/>
      <c r="B19" s="426" t="s">
        <v>117</v>
      </c>
      <c r="C19" s="432">
        <v>873</v>
      </c>
      <c r="D19" s="433">
        <v>93.589193825042884</v>
      </c>
      <c r="E19" s="427"/>
      <c r="F19" s="432">
        <v>714</v>
      </c>
      <c r="G19" s="433">
        <v>76.412671232876704</v>
      </c>
      <c r="H19" s="427"/>
      <c r="I19" s="432">
        <v>793</v>
      </c>
      <c r="J19" s="433">
        <v>85.615798570152108</v>
      </c>
      <c r="K19" s="427"/>
      <c r="L19" s="432">
        <v>793</v>
      </c>
      <c r="M19" s="433">
        <v>84.097153952937404</v>
      </c>
      <c r="N19" s="433"/>
      <c r="O19" s="678">
        <v>900</v>
      </c>
      <c r="P19" s="433">
        <v>95.444437020988204</v>
      </c>
      <c r="Q19" s="433"/>
      <c r="R19" s="432">
        <v>802</v>
      </c>
      <c r="S19" s="433">
        <v>84.378153002210453</v>
      </c>
      <c r="T19" s="426"/>
      <c r="U19" s="434">
        <v>-11.06628401877775</v>
      </c>
      <c r="V19" s="435">
        <v>-0.10888888888888888</v>
      </c>
      <c r="W19" s="425"/>
    </row>
    <row r="20" spans="1:23">
      <c r="A20" s="425"/>
      <c r="B20" s="426" t="s">
        <v>118</v>
      </c>
      <c r="C20" s="432">
        <v>263</v>
      </c>
      <c r="D20" s="433">
        <v>31.736454688065649</v>
      </c>
      <c r="E20" s="427"/>
      <c r="F20" s="432">
        <v>292</v>
      </c>
      <c r="G20" s="433">
        <v>35.113035113035117</v>
      </c>
      <c r="H20" s="427"/>
      <c r="I20" s="432">
        <v>323</v>
      </c>
      <c r="J20" s="433">
        <v>39.487202612005326</v>
      </c>
      <c r="K20" s="427"/>
      <c r="L20" s="432">
        <v>289</v>
      </c>
      <c r="M20" s="433">
        <v>34.901189780351999</v>
      </c>
      <c r="N20" s="433"/>
      <c r="O20" s="678">
        <v>291</v>
      </c>
      <c r="P20" s="433">
        <v>35.142720505475502</v>
      </c>
      <c r="Q20" s="433"/>
      <c r="R20" s="432">
        <v>279</v>
      </c>
      <c r="S20" s="433">
        <v>33.436839727280024</v>
      </c>
      <c r="T20" s="426"/>
      <c r="U20" s="434">
        <v>-1.7058807781954783</v>
      </c>
      <c r="V20" s="435">
        <v>-4.1237113402061855E-2</v>
      </c>
      <c r="W20" s="425"/>
    </row>
    <row r="21" spans="1:23">
      <c r="A21" s="425"/>
      <c r="B21" s="426" t="s">
        <v>119</v>
      </c>
      <c r="C21" s="432">
        <v>1620</v>
      </c>
      <c r="D21" s="433">
        <v>114.97515968772178</v>
      </c>
      <c r="E21" s="427"/>
      <c r="F21" s="432">
        <v>1311</v>
      </c>
      <c r="G21" s="433">
        <v>92.643629425482303</v>
      </c>
      <c r="H21" s="427"/>
      <c r="I21" s="432">
        <v>1560</v>
      </c>
      <c r="J21" s="433">
        <v>113.9587041600021</v>
      </c>
      <c r="K21" s="427"/>
      <c r="L21" s="432">
        <v>1632</v>
      </c>
      <c r="M21" s="433">
        <v>117.232536338854</v>
      </c>
      <c r="N21" s="433"/>
      <c r="O21" s="678">
        <v>1522</v>
      </c>
      <c r="P21" s="433">
        <v>109.33083352189701</v>
      </c>
      <c r="Q21" s="433"/>
      <c r="R21" s="432">
        <v>1427</v>
      </c>
      <c r="S21" s="433">
        <v>101.4162743626481</v>
      </c>
      <c r="T21" s="426"/>
      <c r="U21" s="434">
        <v>-7.9145591592489097</v>
      </c>
      <c r="V21" s="435">
        <v>-6.2417871222076218E-2</v>
      </c>
      <c r="W21" s="425"/>
    </row>
    <row r="22" spans="1:23">
      <c r="A22" s="425"/>
      <c r="B22" s="426" t="s">
        <v>120</v>
      </c>
      <c r="C22" s="432">
        <v>2529</v>
      </c>
      <c r="D22" s="433">
        <v>108.42443729903538</v>
      </c>
      <c r="E22" s="427"/>
      <c r="F22" s="432">
        <v>2196</v>
      </c>
      <c r="G22" s="433">
        <v>93.638069247825342</v>
      </c>
      <c r="H22" s="427"/>
      <c r="I22" s="432">
        <v>2397</v>
      </c>
      <c r="J22" s="433">
        <v>102.00056425844059</v>
      </c>
      <c r="K22" s="427"/>
      <c r="L22" s="432">
        <v>2321</v>
      </c>
      <c r="M22" s="433">
        <v>97.596953595823294</v>
      </c>
      <c r="N22" s="433"/>
      <c r="O22" s="678">
        <v>2307</v>
      </c>
      <c r="P22" s="433">
        <v>97.008260209204806</v>
      </c>
      <c r="Q22" s="433"/>
      <c r="R22" s="432">
        <v>2331</v>
      </c>
      <c r="S22" s="433">
        <v>97.037625704521886</v>
      </c>
      <c r="T22" s="426"/>
      <c r="U22" s="434">
        <v>2.9365495317080104E-2</v>
      </c>
      <c r="V22" s="435">
        <v>1.0403120936280884E-2</v>
      </c>
      <c r="W22" s="425"/>
    </row>
    <row r="23" spans="1:23">
      <c r="A23" s="425"/>
      <c r="B23" s="436" t="s">
        <v>121</v>
      </c>
      <c r="C23" s="437">
        <v>5285</v>
      </c>
      <c r="D23" s="438">
        <v>96.03852444121388</v>
      </c>
      <c r="E23" s="439"/>
      <c r="F23" s="437">
        <v>4513</v>
      </c>
      <c r="G23" s="438">
        <v>81.662565141864505</v>
      </c>
      <c r="H23" s="439"/>
      <c r="I23" s="437">
        <v>5073</v>
      </c>
      <c r="J23" s="438">
        <v>92.840719877710768</v>
      </c>
      <c r="K23" s="439"/>
      <c r="L23" s="437">
        <v>5035</v>
      </c>
      <c r="M23" s="438">
        <v>90.863777962493003</v>
      </c>
      <c r="N23" s="438"/>
      <c r="O23" s="679">
        <v>5020</v>
      </c>
      <c r="P23" s="438">
        <v>90.593081503816293</v>
      </c>
      <c r="Q23" s="438"/>
      <c r="R23" s="437">
        <v>4839</v>
      </c>
      <c r="S23" s="438">
        <v>86.501463589033136</v>
      </c>
      <c r="T23" s="436"/>
      <c r="U23" s="440">
        <v>-4.0916179147831571</v>
      </c>
      <c r="V23" s="441">
        <v>-3.605577689243028E-2</v>
      </c>
      <c r="W23" s="425"/>
    </row>
    <row r="24" spans="1:23" ht="6" customHeight="1">
      <c r="A24" s="425"/>
      <c r="B24" s="426"/>
      <c r="C24" s="432"/>
      <c r="D24" s="433"/>
      <c r="E24" s="427"/>
      <c r="F24" s="432"/>
      <c r="G24" s="433"/>
      <c r="H24" s="427"/>
      <c r="I24" s="432"/>
      <c r="J24" s="433"/>
      <c r="K24" s="427"/>
      <c r="L24" s="432"/>
      <c r="M24" s="433"/>
      <c r="N24" s="433"/>
      <c r="O24" s="678"/>
      <c r="P24" s="433"/>
      <c r="Q24" s="433"/>
      <c r="R24" s="432"/>
      <c r="S24" s="433"/>
      <c r="T24" s="426"/>
      <c r="U24" s="434"/>
      <c r="V24" s="435"/>
      <c r="W24" s="425"/>
    </row>
    <row r="25" spans="1:23">
      <c r="A25" s="425"/>
      <c r="B25" s="426" t="s">
        <v>122</v>
      </c>
      <c r="C25" s="432">
        <v>824</v>
      </c>
      <c r="D25" s="433">
        <v>77.735849056603769</v>
      </c>
      <c r="E25" s="427"/>
      <c r="F25" s="432">
        <v>722</v>
      </c>
      <c r="G25" s="433">
        <v>67.857142857142861</v>
      </c>
      <c r="H25" s="427"/>
      <c r="I25" s="432">
        <v>871</v>
      </c>
      <c r="J25" s="433">
        <v>71.267685775669364</v>
      </c>
      <c r="K25" s="427"/>
      <c r="L25" s="432">
        <v>699</v>
      </c>
      <c r="M25" s="433">
        <v>65.513602273387605</v>
      </c>
      <c r="N25" s="433"/>
      <c r="O25" s="678">
        <v>734</v>
      </c>
      <c r="P25" s="433">
        <v>68.793968624701705</v>
      </c>
      <c r="Q25" s="433"/>
      <c r="R25" s="432">
        <v>658</v>
      </c>
      <c r="S25" s="433">
        <v>61.044114113529062</v>
      </c>
      <c r="T25" s="426"/>
      <c r="U25" s="434">
        <v>-7.7498545111726429</v>
      </c>
      <c r="V25" s="435">
        <v>-0.10354223433242507</v>
      </c>
      <c r="W25" s="425"/>
    </row>
    <row r="26" spans="1:23">
      <c r="A26" s="425"/>
      <c r="B26" s="426" t="s">
        <v>123</v>
      </c>
      <c r="C26" s="432">
        <v>853</v>
      </c>
      <c r="D26" s="433">
        <v>77.524311551395073</v>
      </c>
      <c r="E26" s="427"/>
      <c r="F26" s="432">
        <v>795</v>
      </c>
      <c r="G26" s="433">
        <v>71.776814734561214</v>
      </c>
      <c r="H26" s="427"/>
      <c r="I26" s="432">
        <v>808</v>
      </c>
      <c r="J26" s="433">
        <v>72.144725175919731</v>
      </c>
      <c r="K26" s="427"/>
      <c r="L26" s="432">
        <v>867</v>
      </c>
      <c r="M26" s="433">
        <v>76.273087564495597</v>
      </c>
      <c r="N26" s="433"/>
      <c r="O26" s="678">
        <v>793</v>
      </c>
      <c r="P26" s="433">
        <v>69.763043181828195</v>
      </c>
      <c r="Q26" s="433"/>
      <c r="R26" s="432">
        <v>767</v>
      </c>
      <c r="S26" s="433">
        <v>66.439254425096891</v>
      </c>
      <c r="T26" s="426"/>
      <c r="U26" s="434">
        <v>-3.3237887567313038</v>
      </c>
      <c r="V26" s="435">
        <v>-3.2786885245901641E-2</v>
      </c>
      <c r="W26" s="425"/>
    </row>
    <row r="27" spans="1:23">
      <c r="A27" s="425"/>
      <c r="B27" s="426" t="s">
        <v>124</v>
      </c>
      <c r="C27" s="432">
        <v>424</v>
      </c>
      <c r="D27" s="433">
        <v>55.701523909616398</v>
      </c>
      <c r="E27" s="427"/>
      <c r="F27" s="432">
        <v>371</v>
      </c>
      <c r="G27" s="433">
        <v>48.414459089129586</v>
      </c>
      <c r="H27" s="427"/>
      <c r="I27" s="432">
        <v>482</v>
      </c>
      <c r="J27" s="433">
        <v>62.64019317091936</v>
      </c>
      <c r="K27" s="427"/>
      <c r="L27" s="432">
        <v>484</v>
      </c>
      <c r="M27" s="433">
        <v>62.409416085124398</v>
      </c>
      <c r="N27" s="433"/>
      <c r="O27" s="678">
        <v>371</v>
      </c>
      <c r="P27" s="433">
        <v>47.838622660291598</v>
      </c>
      <c r="Q27" s="433"/>
      <c r="R27" s="432">
        <v>405</v>
      </c>
      <c r="S27" s="433">
        <v>51.736824355397488</v>
      </c>
      <c r="T27" s="426"/>
      <c r="U27" s="443">
        <v>3.8982016951058895</v>
      </c>
      <c r="V27" s="444">
        <v>9.1644204851752023E-2</v>
      </c>
      <c r="W27" s="425"/>
    </row>
    <row r="28" spans="1:23">
      <c r="A28" s="425"/>
      <c r="B28" s="426" t="s">
        <v>125</v>
      </c>
      <c r="C28" s="432">
        <v>717</v>
      </c>
      <c r="D28" s="433">
        <v>95.181202708084427</v>
      </c>
      <c r="E28" s="427"/>
      <c r="F28" s="432">
        <v>723</v>
      </c>
      <c r="G28" s="433">
        <v>95.483359746434232</v>
      </c>
      <c r="H28" s="427"/>
      <c r="I28" s="432">
        <v>664</v>
      </c>
      <c r="J28" s="433">
        <v>84.387863906776829</v>
      </c>
      <c r="K28" s="427"/>
      <c r="L28" s="432">
        <v>599</v>
      </c>
      <c r="M28" s="433">
        <v>75.591131481876403</v>
      </c>
      <c r="N28" s="433"/>
      <c r="O28" s="678">
        <v>565</v>
      </c>
      <c r="P28" s="433">
        <v>71.300482950350897</v>
      </c>
      <c r="Q28" s="433"/>
      <c r="R28" s="432">
        <v>552</v>
      </c>
      <c r="S28" s="433">
        <v>68.798763616421965</v>
      </c>
      <c r="T28" s="426"/>
      <c r="U28" s="434">
        <v>-2.5017193339289321</v>
      </c>
      <c r="V28" s="435">
        <v>-2.3008849557522124E-2</v>
      </c>
      <c r="W28" s="425"/>
    </row>
    <row r="29" spans="1:23">
      <c r="A29" s="425"/>
      <c r="B29" s="426" t="s">
        <v>126</v>
      </c>
      <c r="C29" s="432">
        <v>891</v>
      </c>
      <c r="D29" s="433">
        <v>76.737576436138141</v>
      </c>
      <c r="E29" s="427"/>
      <c r="F29" s="432">
        <v>754</v>
      </c>
      <c r="G29" s="433">
        <v>64.416915847928237</v>
      </c>
      <c r="H29" s="427"/>
      <c r="I29" s="432">
        <v>828</v>
      </c>
      <c r="J29" s="433">
        <v>72.262469857909991</v>
      </c>
      <c r="K29" s="427"/>
      <c r="L29" s="432">
        <v>824</v>
      </c>
      <c r="M29" s="433">
        <v>70.830844081885303</v>
      </c>
      <c r="N29" s="433"/>
      <c r="O29" s="678">
        <v>816</v>
      </c>
      <c r="P29" s="433">
        <v>70.143165984002906</v>
      </c>
      <c r="Q29" s="433"/>
      <c r="R29" s="432">
        <v>804</v>
      </c>
      <c r="S29" s="433">
        <v>68.497235403869581</v>
      </c>
      <c r="T29" s="426"/>
      <c r="U29" s="434">
        <v>-1.6459305801333244</v>
      </c>
      <c r="V29" s="435">
        <v>-1.4705882352941176E-2</v>
      </c>
      <c r="W29" s="425"/>
    </row>
    <row r="30" spans="1:23">
      <c r="A30" s="425"/>
      <c r="B30" s="436" t="s">
        <v>127</v>
      </c>
      <c r="C30" s="437">
        <v>3709</v>
      </c>
      <c r="D30" s="438">
        <v>76.697202175396512</v>
      </c>
      <c r="E30" s="439"/>
      <c r="F30" s="437">
        <v>3365</v>
      </c>
      <c r="G30" s="438">
        <v>69.158993752055238</v>
      </c>
      <c r="H30" s="439"/>
      <c r="I30" s="437">
        <v>3653</v>
      </c>
      <c r="J30" s="438">
        <v>72.457620693371879</v>
      </c>
      <c r="K30" s="439"/>
      <c r="L30" s="437">
        <v>3473</v>
      </c>
      <c r="M30" s="438">
        <v>69.585459921591706</v>
      </c>
      <c r="N30" s="438"/>
      <c r="O30" s="679">
        <v>3279</v>
      </c>
      <c r="P30" s="438">
        <v>66.444590297874001</v>
      </c>
      <c r="Q30" s="438"/>
      <c r="R30" s="437">
        <v>3186</v>
      </c>
      <c r="S30" s="438">
        <v>63.831513654354154</v>
      </c>
      <c r="T30" s="436"/>
      <c r="U30" s="440">
        <v>-2.6130766435198467</v>
      </c>
      <c r="V30" s="441">
        <v>-2.8362305580969808E-2</v>
      </c>
      <c r="W30" s="425"/>
    </row>
    <row r="31" spans="1:23" ht="6" customHeight="1">
      <c r="A31" s="425"/>
      <c r="B31" s="426"/>
      <c r="C31" s="432"/>
      <c r="D31" s="433"/>
      <c r="E31" s="427"/>
      <c r="F31" s="432"/>
      <c r="G31" s="433"/>
      <c r="H31" s="427"/>
      <c r="I31" s="432"/>
      <c r="J31" s="433"/>
      <c r="K31" s="427"/>
      <c r="L31" s="432"/>
      <c r="M31" s="433"/>
      <c r="N31" s="433"/>
      <c r="O31" s="678"/>
      <c r="P31" s="433"/>
      <c r="Q31" s="433"/>
      <c r="R31" s="432"/>
      <c r="S31" s="433"/>
      <c r="T31" s="426"/>
      <c r="U31" s="434"/>
      <c r="V31" s="435"/>
      <c r="W31" s="425"/>
    </row>
    <row r="32" spans="1:23">
      <c r="A32" s="425"/>
      <c r="B32" s="426" t="s">
        <v>128</v>
      </c>
      <c r="C32" s="432">
        <v>598</v>
      </c>
      <c r="D32" s="433">
        <v>52.645479355577081</v>
      </c>
      <c r="E32" s="427"/>
      <c r="F32" s="432">
        <v>603</v>
      </c>
      <c r="G32" s="433">
        <v>52.904018248815582</v>
      </c>
      <c r="H32" s="427"/>
      <c r="I32" s="432">
        <v>651</v>
      </c>
      <c r="J32" s="433">
        <v>60.921231137087737</v>
      </c>
      <c r="K32" s="427"/>
      <c r="L32" s="432">
        <v>823</v>
      </c>
      <c r="M32" s="433">
        <v>71.799408330999597</v>
      </c>
      <c r="N32" s="433"/>
      <c r="O32" s="678">
        <v>749</v>
      </c>
      <c r="P32" s="433">
        <v>65.343568456766405</v>
      </c>
      <c r="Q32" s="433"/>
      <c r="R32" s="432">
        <v>772</v>
      </c>
      <c r="S32" s="433">
        <v>66.455592685752848</v>
      </c>
      <c r="T32" s="426"/>
      <c r="U32" s="434">
        <v>1.1120242289864422</v>
      </c>
      <c r="V32" s="435">
        <v>3.0707610146862484E-2</v>
      </c>
      <c r="W32" s="425"/>
    </row>
    <row r="33" spans="1:23">
      <c r="A33" s="425"/>
      <c r="B33" s="426" t="s">
        <v>129</v>
      </c>
      <c r="C33" s="432">
        <v>412</v>
      </c>
      <c r="D33" s="433">
        <v>71.29261117840457</v>
      </c>
      <c r="E33" s="427"/>
      <c r="F33" s="432">
        <v>360</v>
      </c>
      <c r="G33" s="433">
        <v>61.664953751284685</v>
      </c>
      <c r="H33" s="427"/>
      <c r="I33" s="432">
        <v>413</v>
      </c>
      <c r="J33" s="433">
        <v>68.930640420727258</v>
      </c>
      <c r="K33" s="427"/>
      <c r="L33" s="432">
        <v>404</v>
      </c>
      <c r="M33" s="433">
        <v>66.490674847433496</v>
      </c>
      <c r="N33" s="433"/>
      <c r="O33" s="678">
        <v>331</v>
      </c>
      <c r="P33" s="433">
        <v>54.476270728961602</v>
      </c>
      <c r="Q33" s="433"/>
      <c r="R33" s="432">
        <v>308</v>
      </c>
      <c r="S33" s="433">
        <v>49.852465835684328</v>
      </c>
      <c r="T33" s="426"/>
      <c r="U33" s="434">
        <v>-4.6238048932772742</v>
      </c>
      <c r="V33" s="435">
        <v>-6.9486404833836862E-2</v>
      </c>
      <c r="W33" s="425"/>
    </row>
    <row r="34" spans="1:23">
      <c r="A34" s="425"/>
      <c r="B34" s="426" t="s">
        <v>130</v>
      </c>
      <c r="C34" s="432">
        <v>732</v>
      </c>
      <c r="D34" s="433">
        <v>56.673892846082374</v>
      </c>
      <c r="E34" s="427"/>
      <c r="F34" s="432">
        <v>629</v>
      </c>
      <c r="G34" s="433">
        <v>48.444239063462724</v>
      </c>
      <c r="H34" s="427"/>
      <c r="I34" s="432">
        <v>619</v>
      </c>
      <c r="J34" s="433">
        <v>46.198876185476976</v>
      </c>
      <c r="K34" s="427"/>
      <c r="L34" s="432">
        <v>716</v>
      </c>
      <c r="M34" s="433">
        <v>54.490770055038702</v>
      </c>
      <c r="N34" s="433"/>
      <c r="O34" s="678">
        <v>712</v>
      </c>
      <c r="P34" s="433">
        <v>54.186352345233999</v>
      </c>
      <c r="Q34" s="433"/>
      <c r="R34" s="432">
        <v>627</v>
      </c>
      <c r="S34" s="433">
        <v>47.311827956989248</v>
      </c>
      <c r="T34" s="426"/>
      <c r="U34" s="434">
        <v>-6.8745243882447511</v>
      </c>
      <c r="V34" s="435">
        <v>-0.11938202247191011</v>
      </c>
      <c r="W34" s="425"/>
    </row>
    <row r="35" spans="1:23">
      <c r="A35" s="425"/>
      <c r="B35" s="426" t="s">
        <v>131</v>
      </c>
      <c r="C35" s="432">
        <v>5023</v>
      </c>
      <c r="D35" s="433">
        <v>171.51539984975759</v>
      </c>
      <c r="E35" s="427"/>
      <c r="F35" s="432">
        <v>3049</v>
      </c>
      <c r="G35" s="433">
        <v>103.7110105785911</v>
      </c>
      <c r="H35" s="427"/>
      <c r="I35" s="432">
        <v>4455</v>
      </c>
      <c r="J35" s="433">
        <v>152.77086222434374</v>
      </c>
      <c r="K35" s="427"/>
      <c r="L35" s="432">
        <v>5192</v>
      </c>
      <c r="M35" s="433">
        <v>175.77262767890801</v>
      </c>
      <c r="N35" s="433"/>
      <c r="O35" s="678">
        <v>5273</v>
      </c>
      <c r="P35" s="433">
        <v>178.51484317235699</v>
      </c>
      <c r="Q35" s="433"/>
      <c r="R35" s="432">
        <v>4469</v>
      </c>
      <c r="S35" s="433">
        <v>149.91935418942236</v>
      </c>
      <c r="T35" s="426"/>
      <c r="U35" s="434">
        <v>-28.595488982934626</v>
      </c>
      <c r="V35" s="435">
        <v>-0.15247487198937987</v>
      </c>
      <c r="W35" s="425"/>
    </row>
    <row r="36" spans="1:23">
      <c r="A36" s="425"/>
      <c r="B36" s="436" t="s">
        <v>132</v>
      </c>
      <c r="C36" s="437">
        <v>6765</v>
      </c>
      <c r="D36" s="438">
        <v>114.00404448938322</v>
      </c>
      <c r="E36" s="439"/>
      <c r="F36" s="437">
        <v>4641</v>
      </c>
      <c r="G36" s="438">
        <v>77.844311377245504</v>
      </c>
      <c r="H36" s="439"/>
      <c r="I36" s="437">
        <v>6138</v>
      </c>
      <c r="J36" s="438">
        <v>103.48927822862363</v>
      </c>
      <c r="K36" s="439"/>
      <c r="L36" s="437">
        <v>7135</v>
      </c>
      <c r="M36" s="438">
        <v>118.489059399471</v>
      </c>
      <c r="N36" s="438"/>
      <c r="O36" s="679">
        <v>7065</v>
      </c>
      <c r="P36" s="438">
        <v>117.326587898705</v>
      </c>
      <c r="Q36" s="438"/>
      <c r="R36" s="437">
        <v>6176</v>
      </c>
      <c r="S36" s="438">
        <v>101.48402308564341</v>
      </c>
      <c r="T36" s="436"/>
      <c r="U36" s="440">
        <v>-15.842564813061585</v>
      </c>
      <c r="V36" s="441">
        <v>-0.12583156404812457</v>
      </c>
      <c r="W36" s="425"/>
    </row>
    <row r="37" spans="1:23" ht="6" customHeight="1">
      <c r="A37" s="425"/>
      <c r="B37" s="426"/>
      <c r="C37" s="432"/>
      <c r="D37" s="433"/>
      <c r="E37" s="427"/>
      <c r="F37" s="432"/>
      <c r="G37" s="433"/>
      <c r="H37" s="427"/>
      <c r="I37" s="432"/>
      <c r="J37" s="433"/>
      <c r="K37" s="427"/>
      <c r="L37" s="432"/>
      <c r="M37" s="433"/>
      <c r="N37" s="433"/>
      <c r="O37" s="678"/>
      <c r="P37" s="433"/>
      <c r="Q37" s="433"/>
      <c r="R37" s="432"/>
      <c r="S37" s="433"/>
      <c r="T37" s="426"/>
      <c r="U37" s="434"/>
      <c r="V37" s="435"/>
      <c r="W37" s="425"/>
    </row>
    <row r="38" spans="1:23">
      <c r="A38" s="425"/>
      <c r="B38" s="426" t="s">
        <v>133</v>
      </c>
      <c r="C38" s="432">
        <v>745</v>
      </c>
      <c r="D38" s="433">
        <v>110.37037037037038</v>
      </c>
      <c r="E38" s="427"/>
      <c r="F38" s="432">
        <v>536</v>
      </c>
      <c r="G38" s="433">
        <v>78.557819141140257</v>
      </c>
      <c r="H38" s="427"/>
      <c r="I38" s="432">
        <v>596</v>
      </c>
      <c r="J38" s="433">
        <v>84.403960754990592</v>
      </c>
      <c r="K38" s="427"/>
      <c r="L38" s="432">
        <v>510</v>
      </c>
      <c r="M38" s="433">
        <v>71.235019694387802</v>
      </c>
      <c r="N38" s="433"/>
      <c r="O38" s="678">
        <v>601</v>
      </c>
      <c r="P38" s="433">
        <v>83.945582032013903</v>
      </c>
      <c r="Q38" s="433"/>
      <c r="R38" s="432">
        <v>593</v>
      </c>
      <c r="S38" s="433">
        <v>81.319654809721598</v>
      </c>
      <c r="T38" s="426"/>
      <c r="U38" s="434">
        <v>-2.6259272222923045</v>
      </c>
      <c r="V38" s="435">
        <v>-1.5686274509803921E-2</v>
      </c>
      <c r="W38" s="425"/>
    </row>
    <row r="39" spans="1:23">
      <c r="A39" s="425"/>
      <c r="B39" s="426" t="s">
        <v>134</v>
      </c>
      <c r="C39" s="432">
        <v>730</v>
      </c>
      <c r="D39" s="433">
        <v>85.300303809301241</v>
      </c>
      <c r="E39" s="427"/>
      <c r="F39" s="432">
        <v>668</v>
      </c>
      <c r="G39" s="433">
        <v>77.692486624796459</v>
      </c>
      <c r="H39" s="427"/>
      <c r="I39" s="432">
        <v>762</v>
      </c>
      <c r="J39" s="433">
        <v>75.159798205977992</v>
      </c>
      <c r="K39" s="427"/>
      <c r="L39" s="432">
        <v>543</v>
      </c>
      <c r="M39" s="433">
        <v>59.879975386352697</v>
      </c>
      <c r="N39" s="433"/>
      <c r="O39" s="678">
        <v>530</v>
      </c>
      <c r="P39" s="433">
        <v>58.446384815408699</v>
      </c>
      <c r="Q39" s="433"/>
      <c r="R39" s="432">
        <v>608</v>
      </c>
      <c r="S39" s="433">
        <v>66.152965676620809</v>
      </c>
      <c r="T39" s="426"/>
      <c r="U39" s="434">
        <v>7.7065808612121103</v>
      </c>
      <c r="V39" s="435">
        <v>0.143646408839779</v>
      </c>
      <c r="W39" s="425"/>
    </row>
    <row r="40" spans="1:23">
      <c r="A40" s="425"/>
      <c r="B40" s="426" t="s">
        <v>135</v>
      </c>
      <c r="C40" s="432">
        <v>1794</v>
      </c>
      <c r="D40" s="433">
        <v>97.146260897817726</v>
      </c>
      <c r="E40" s="427"/>
      <c r="F40" s="432">
        <v>1510</v>
      </c>
      <c r="G40" s="433">
        <v>81.353375356931195</v>
      </c>
      <c r="H40" s="427"/>
      <c r="I40" s="432">
        <v>1516</v>
      </c>
      <c r="J40" s="433">
        <v>81.380767512969385</v>
      </c>
      <c r="K40" s="427"/>
      <c r="L40" s="432">
        <v>1667</v>
      </c>
      <c r="M40" s="433">
        <v>88.797694136422507</v>
      </c>
      <c r="N40" s="433"/>
      <c r="O40" s="678">
        <v>1513</v>
      </c>
      <c r="P40" s="433">
        <v>80.594427851473995</v>
      </c>
      <c r="Q40" s="433"/>
      <c r="R40" s="432">
        <v>1506</v>
      </c>
      <c r="S40" s="433">
        <v>79.405670176474615</v>
      </c>
      <c r="T40" s="426"/>
      <c r="U40" s="434">
        <v>-1.1887576749993798</v>
      </c>
      <c r="V40" s="435">
        <v>-4.1991601679664068E-3</v>
      </c>
      <c r="W40" s="425"/>
    </row>
    <row r="41" spans="1:23">
      <c r="A41" s="425"/>
      <c r="B41" s="426" t="s">
        <v>136</v>
      </c>
      <c r="C41" s="432">
        <v>908</v>
      </c>
      <c r="D41" s="433">
        <v>76.334594367381257</v>
      </c>
      <c r="E41" s="427"/>
      <c r="F41" s="432">
        <v>723</v>
      </c>
      <c r="G41" s="433">
        <v>60.46667224220122</v>
      </c>
      <c r="H41" s="427"/>
      <c r="I41" s="432">
        <v>724</v>
      </c>
      <c r="J41" s="433">
        <v>59.136113008279054</v>
      </c>
      <c r="K41" s="427"/>
      <c r="L41" s="432">
        <v>680</v>
      </c>
      <c r="M41" s="433">
        <v>56.450836302536601</v>
      </c>
      <c r="N41" s="433"/>
      <c r="O41" s="678">
        <v>675</v>
      </c>
      <c r="P41" s="433">
        <v>56.0357566238415</v>
      </c>
      <c r="Q41" s="433"/>
      <c r="R41" s="432">
        <v>764</v>
      </c>
      <c r="S41" s="433">
        <v>62.86063615951133</v>
      </c>
      <c r="T41" s="426"/>
      <c r="U41" s="434">
        <v>6.8248795356698295</v>
      </c>
      <c r="V41" s="435">
        <v>0.13088235294117648</v>
      </c>
      <c r="W41" s="425"/>
    </row>
    <row r="42" spans="1:23">
      <c r="A42" s="425"/>
      <c r="B42" s="426" t="s">
        <v>137</v>
      </c>
      <c r="C42" s="432">
        <v>525</v>
      </c>
      <c r="D42" s="433">
        <v>57.832121612690024</v>
      </c>
      <c r="E42" s="427"/>
      <c r="F42" s="432">
        <v>420</v>
      </c>
      <c r="G42" s="433">
        <v>45.951859956236326</v>
      </c>
      <c r="H42" s="427"/>
      <c r="I42" s="432">
        <v>448</v>
      </c>
      <c r="J42" s="433">
        <v>48.782134414380273</v>
      </c>
      <c r="K42" s="427"/>
      <c r="L42" s="432">
        <v>467</v>
      </c>
      <c r="M42" s="433">
        <v>50.470172344290901</v>
      </c>
      <c r="N42" s="433"/>
      <c r="O42" s="678">
        <v>504</v>
      </c>
      <c r="P42" s="433">
        <v>54.468879789127598</v>
      </c>
      <c r="Q42" s="433"/>
      <c r="R42" s="432">
        <v>437</v>
      </c>
      <c r="S42" s="433">
        <v>46.891279831491836</v>
      </c>
      <c r="T42" s="426"/>
      <c r="U42" s="434">
        <v>-7.577599957635762</v>
      </c>
      <c r="V42" s="435">
        <v>-0.14346895074946467</v>
      </c>
      <c r="W42" s="425"/>
    </row>
    <row r="43" spans="1:23">
      <c r="A43" s="425"/>
      <c r="B43" s="426" t="s">
        <v>138</v>
      </c>
      <c r="C43" s="432">
        <v>434</v>
      </c>
      <c r="D43" s="433">
        <v>57.000262674021542</v>
      </c>
      <c r="E43" s="427"/>
      <c r="F43" s="432">
        <v>332</v>
      </c>
      <c r="G43" s="433">
        <v>43.615344193378874</v>
      </c>
      <c r="H43" s="427"/>
      <c r="I43" s="432">
        <v>362</v>
      </c>
      <c r="J43" s="433">
        <v>47.420992303913543</v>
      </c>
      <c r="K43" s="427"/>
      <c r="L43" s="432">
        <v>468</v>
      </c>
      <c r="M43" s="433">
        <v>60.893494935300701</v>
      </c>
      <c r="N43" s="433"/>
      <c r="O43" s="678">
        <v>332</v>
      </c>
      <c r="P43" s="433">
        <v>43.197949398546598</v>
      </c>
      <c r="Q43" s="433"/>
      <c r="R43" s="432">
        <v>275</v>
      </c>
      <c r="S43" s="433">
        <v>35.417970691951233</v>
      </c>
      <c r="T43" s="426"/>
      <c r="U43" s="434">
        <v>-7.7799787065953652</v>
      </c>
      <c r="V43" s="435">
        <v>-0.12179487179487179</v>
      </c>
      <c r="W43" s="425"/>
    </row>
    <row r="44" spans="1:23">
      <c r="A44" s="425"/>
      <c r="B44" s="436" t="s">
        <v>139</v>
      </c>
      <c r="C44" s="437">
        <v>5136</v>
      </c>
      <c r="D44" s="438">
        <v>82.357846124242329</v>
      </c>
      <c r="E44" s="439"/>
      <c r="F44" s="437">
        <v>4189</v>
      </c>
      <c r="G44" s="438">
        <v>66.818732852676575</v>
      </c>
      <c r="H44" s="439"/>
      <c r="I44" s="437">
        <v>4408</v>
      </c>
      <c r="J44" s="438">
        <v>67.831362348647531</v>
      </c>
      <c r="K44" s="439"/>
      <c r="L44" s="437">
        <v>4335</v>
      </c>
      <c r="M44" s="438">
        <v>69.641354836925004</v>
      </c>
      <c r="N44" s="438"/>
      <c r="O44" s="679">
        <v>4155</v>
      </c>
      <c r="P44" s="438">
        <v>64.937125077967494</v>
      </c>
      <c r="Q44" s="438"/>
      <c r="R44" s="437">
        <v>4183</v>
      </c>
      <c r="S44" s="438">
        <v>64.665584011538698</v>
      </c>
      <c r="T44" s="436"/>
      <c r="U44" s="440">
        <v>-0.27154106642879583</v>
      </c>
      <c r="V44" s="441">
        <v>6.4590542099192622E-3</v>
      </c>
      <c r="W44" s="425"/>
    </row>
    <row r="45" spans="1:23" ht="6" customHeight="1">
      <c r="A45" s="425"/>
      <c r="B45" s="426"/>
      <c r="C45" s="432"/>
      <c r="D45" s="433"/>
      <c r="E45" s="427"/>
      <c r="F45" s="432"/>
      <c r="G45" s="433"/>
      <c r="H45" s="427"/>
      <c r="I45" s="432"/>
      <c r="J45" s="433"/>
      <c r="K45" s="427"/>
      <c r="L45" s="432"/>
      <c r="M45" s="433"/>
      <c r="N45" s="433"/>
      <c r="O45" s="678"/>
      <c r="P45" s="433"/>
      <c r="Q45" s="433"/>
      <c r="R45" s="432"/>
      <c r="S45" s="433"/>
      <c r="T45" s="426"/>
      <c r="U45" s="434"/>
      <c r="V45" s="435"/>
      <c r="W45" s="425"/>
    </row>
    <row r="46" spans="1:23">
      <c r="A46" s="425"/>
      <c r="B46" s="426" t="s">
        <v>140</v>
      </c>
      <c r="C46" s="432">
        <v>33</v>
      </c>
      <c r="D46" s="433" t="s">
        <v>94</v>
      </c>
      <c r="E46" s="427"/>
      <c r="F46" s="432">
        <v>22</v>
      </c>
      <c r="G46" s="433" t="s">
        <v>94</v>
      </c>
      <c r="H46" s="427"/>
      <c r="I46" s="432">
        <v>14</v>
      </c>
      <c r="J46" s="433" t="s">
        <v>94</v>
      </c>
      <c r="K46" s="427"/>
      <c r="L46" s="432">
        <v>31</v>
      </c>
      <c r="M46" s="433" t="s">
        <v>94</v>
      </c>
      <c r="N46" s="433"/>
      <c r="O46" s="678">
        <v>54</v>
      </c>
      <c r="P46" s="433" t="s">
        <v>94</v>
      </c>
      <c r="Q46" s="433"/>
      <c r="R46" s="432">
        <v>47</v>
      </c>
      <c r="S46" s="433" t="s">
        <v>94</v>
      </c>
      <c r="T46" s="427"/>
      <c r="U46" s="443" t="s">
        <v>94</v>
      </c>
      <c r="V46" s="444">
        <v>-0.12962962962962962</v>
      </c>
      <c r="W46" s="425"/>
    </row>
    <row r="47" spans="1:23">
      <c r="A47" s="425"/>
      <c r="B47" s="426" t="s">
        <v>141</v>
      </c>
      <c r="C47" s="432">
        <v>14681</v>
      </c>
      <c r="D47" s="433">
        <v>163.99137651776638</v>
      </c>
      <c r="E47" s="427"/>
      <c r="F47" s="432">
        <v>10080</v>
      </c>
      <c r="G47" s="433">
        <v>112.10463098892301</v>
      </c>
      <c r="H47" s="427"/>
      <c r="I47" s="432">
        <v>11135</v>
      </c>
      <c r="J47" s="433">
        <v>125.24117195816396</v>
      </c>
      <c r="K47" s="427"/>
      <c r="L47" s="432">
        <v>12864</v>
      </c>
      <c r="M47" s="433">
        <v>145.26839363353099</v>
      </c>
      <c r="N47" s="433"/>
      <c r="O47" s="678">
        <v>14885</v>
      </c>
      <c r="P47" s="433">
        <v>168.09079906989399</v>
      </c>
      <c r="Q47" s="433"/>
      <c r="R47" s="432">
        <v>16297</v>
      </c>
      <c r="S47" s="433">
        <v>182.45946219186243</v>
      </c>
      <c r="T47" s="426"/>
      <c r="U47" s="434">
        <v>14.368663121968439</v>
      </c>
      <c r="V47" s="435">
        <v>9.4860597917366479E-2</v>
      </c>
      <c r="W47" s="425"/>
    </row>
    <row r="48" spans="1:23">
      <c r="A48" s="425"/>
      <c r="B48" s="436" t="s">
        <v>411</v>
      </c>
      <c r="C48" s="437">
        <v>14714</v>
      </c>
      <c r="D48" s="438">
        <v>164.18210220932829</v>
      </c>
      <c r="E48" s="439"/>
      <c r="F48" s="437">
        <v>10102</v>
      </c>
      <c r="G48" s="438">
        <v>112.2132740905304</v>
      </c>
      <c r="H48" s="439"/>
      <c r="I48" s="437">
        <v>11149</v>
      </c>
      <c r="J48" s="438">
        <v>125.27808816847204</v>
      </c>
      <c r="K48" s="439"/>
      <c r="L48" s="437">
        <v>12895</v>
      </c>
      <c r="M48" s="438">
        <v>145.440313641275</v>
      </c>
      <c r="N48" s="438"/>
      <c r="O48" s="679">
        <v>14939</v>
      </c>
      <c r="P48" s="438">
        <v>168.49421058449099</v>
      </c>
      <c r="Q48" s="438"/>
      <c r="R48" s="437">
        <v>16344</v>
      </c>
      <c r="S48" s="438">
        <v>182.71028982900424</v>
      </c>
      <c r="T48" s="436"/>
      <c r="U48" s="440">
        <v>14.216079244513253</v>
      </c>
      <c r="V48" s="441">
        <v>9.4049133141441865E-2</v>
      </c>
      <c r="W48" s="425"/>
    </row>
    <row r="49" spans="1:25" ht="6" customHeight="1">
      <c r="A49" s="425"/>
      <c r="B49" s="426"/>
      <c r="C49" s="432"/>
      <c r="D49" s="433"/>
      <c r="E49" s="427"/>
      <c r="F49" s="432"/>
      <c r="G49" s="433"/>
      <c r="H49" s="427"/>
      <c r="I49" s="432"/>
      <c r="J49" s="433"/>
      <c r="K49" s="427"/>
      <c r="L49" s="432"/>
      <c r="M49" s="433"/>
      <c r="N49" s="433"/>
      <c r="O49" s="678"/>
      <c r="P49" s="433"/>
      <c r="Q49" s="433"/>
      <c r="R49" s="432"/>
      <c r="S49" s="433"/>
      <c r="T49" s="426"/>
      <c r="U49" s="434"/>
      <c r="V49" s="435"/>
      <c r="W49" s="425"/>
    </row>
    <row r="50" spans="1:25">
      <c r="A50" s="425"/>
      <c r="B50" s="426" t="s">
        <v>142</v>
      </c>
      <c r="C50" s="432">
        <v>1344</v>
      </c>
      <c r="D50" s="433">
        <v>67.480042175026355</v>
      </c>
      <c r="E50" s="427"/>
      <c r="F50" s="432">
        <v>1205</v>
      </c>
      <c r="G50" s="433">
        <v>60.277124706117753</v>
      </c>
      <c r="H50" s="427"/>
      <c r="I50" s="432">
        <v>1278</v>
      </c>
      <c r="J50" s="433">
        <v>63.612722944354609</v>
      </c>
      <c r="K50" s="427"/>
      <c r="L50" s="432">
        <v>1309</v>
      </c>
      <c r="M50" s="433">
        <v>64.595675161030996</v>
      </c>
      <c r="N50" s="433"/>
      <c r="O50" s="678">
        <v>1050</v>
      </c>
      <c r="P50" s="433">
        <v>52.013388741627701</v>
      </c>
      <c r="Q50" s="433"/>
      <c r="R50" s="432">
        <v>989</v>
      </c>
      <c r="S50" s="433">
        <v>48.578692570063346</v>
      </c>
      <c r="T50" s="426"/>
      <c r="U50" s="434">
        <v>-3.4346961715643545</v>
      </c>
      <c r="V50" s="435">
        <v>-5.8095238095238096E-2</v>
      </c>
      <c r="W50" s="425"/>
    </row>
    <row r="51" spans="1:25">
      <c r="A51" s="425"/>
      <c r="B51" s="426" t="s">
        <v>143</v>
      </c>
      <c r="C51" s="432">
        <v>1617</v>
      </c>
      <c r="D51" s="433">
        <v>86.930810171496162</v>
      </c>
      <c r="E51" s="427"/>
      <c r="F51" s="432">
        <v>1388</v>
      </c>
      <c r="G51" s="433">
        <v>74.296113906434002</v>
      </c>
      <c r="H51" s="427"/>
      <c r="I51" s="432">
        <v>1252</v>
      </c>
      <c r="J51" s="433">
        <v>67.371738093982486</v>
      </c>
      <c r="K51" s="427"/>
      <c r="L51" s="432">
        <v>1218</v>
      </c>
      <c r="M51" s="433">
        <v>67.381241893860704</v>
      </c>
      <c r="N51" s="433"/>
      <c r="O51" s="678">
        <v>1011</v>
      </c>
      <c r="P51" s="433">
        <v>53.894331926181302</v>
      </c>
      <c r="Q51" s="433"/>
      <c r="R51" s="432">
        <v>875</v>
      </c>
      <c r="S51" s="433">
        <v>46.124221225470478</v>
      </c>
      <c r="T51" s="426"/>
      <c r="U51" s="434">
        <v>-7.7701107007108234</v>
      </c>
      <c r="V51" s="435">
        <v>-0.13452027695351138</v>
      </c>
      <c r="W51" s="425"/>
    </row>
    <row r="52" spans="1:25">
      <c r="A52" s="425"/>
      <c r="B52" s="426" t="s">
        <v>144</v>
      </c>
      <c r="C52" s="432">
        <v>499</v>
      </c>
      <c r="D52" s="433">
        <v>41.715432201972909</v>
      </c>
      <c r="E52" s="427"/>
      <c r="F52" s="432">
        <v>496</v>
      </c>
      <c r="G52" s="433">
        <v>41.33677806483874</v>
      </c>
      <c r="H52" s="427"/>
      <c r="I52" s="432">
        <v>464</v>
      </c>
      <c r="J52" s="433">
        <v>38.652439914533318</v>
      </c>
      <c r="K52" s="427"/>
      <c r="L52" s="432">
        <v>511</v>
      </c>
      <c r="M52" s="433">
        <v>37.956757290826197</v>
      </c>
      <c r="N52" s="433"/>
      <c r="O52" s="678">
        <v>515</v>
      </c>
      <c r="P52" s="433">
        <v>42.402885042896898</v>
      </c>
      <c r="Q52" s="433"/>
      <c r="R52" s="432">
        <v>488</v>
      </c>
      <c r="S52" s="433">
        <v>39.71771125061143</v>
      </c>
      <c r="T52" s="426"/>
      <c r="U52" s="434">
        <v>-2.6851737922854682</v>
      </c>
      <c r="V52" s="435">
        <v>-5.2427184466019419E-2</v>
      </c>
      <c r="W52" s="425"/>
    </row>
    <row r="53" spans="1:25">
      <c r="A53" s="425"/>
      <c r="B53" s="426" t="s">
        <v>410</v>
      </c>
      <c r="C53" s="432">
        <v>1151</v>
      </c>
      <c r="D53" s="433">
        <v>67.227381578178836</v>
      </c>
      <c r="E53" s="427"/>
      <c r="F53" s="432">
        <v>955</v>
      </c>
      <c r="G53" s="433">
        <v>55.581422418810384</v>
      </c>
      <c r="H53" s="427"/>
      <c r="I53" s="432">
        <v>964</v>
      </c>
      <c r="J53" s="433">
        <v>56.429939946602296</v>
      </c>
      <c r="K53" s="427"/>
      <c r="L53" s="432">
        <v>959</v>
      </c>
      <c r="M53" s="433">
        <v>57.001047633933602</v>
      </c>
      <c r="N53" s="433"/>
      <c r="O53" s="678">
        <v>1147</v>
      </c>
      <c r="P53" s="433">
        <v>66.646484848238302</v>
      </c>
      <c r="Q53" s="433"/>
      <c r="R53" s="432">
        <v>1044</v>
      </c>
      <c r="S53" s="433">
        <v>60.138837765116364</v>
      </c>
      <c r="T53" s="426"/>
      <c r="U53" s="434">
        <v>-6.5076470831219382</v>
      </c>
      <c r="V53" s="435">
        <v>-8.979947689625109E-2</v>
      </c>
      <c r="W53" s="425"/>
    </row>
    <row r="54" spans="1:25">
      <c r="A54" s="425"/>
      <c r="B54" s="426" t="s">
        <v>145</v>
      </c>
      <c r="C54" s="432">
        <v>1564</v>
      </c>
      <c r="D54" s="433">
        <v>64.628099173553721</v>
      </c>
      <c r="E54" s="427"/>
      <c r="F54" s="432">
        <v>1396</v>
      </c>
      <c r="G54" s="433">
        <v>57.403676137999092</v>
      </c>
      <c r="H54" s="427"/>
      <c r="I54" s="432">
        <v>1196</v>
      </c>
      <c r="J54" s="433">
        <v>47.370124923826936</v>
      </c>
      <c r="K54" s="427"/>
      <c r="L54" s="432">
        <v>1251</v>
      </c>
      <c r="M54" s="433">
        <v>48.947549249549397</v>
      </c>
      <c r="N54" s="433"/>
      <c r="O54" s="678">
        <v>1158</v>
      </c>
      <c r="P54" s="433">
        <v>45.4176779094376</v>
      </c>
      <c r="Q54" s="433"/>
      <c r="R54" s="432">
        <v>1004</v>
      </c>
      <c r="S54" s="433">
        <v>38.840510187896768</v>
      </c>
      <c r="T54" s="426"/>
      <c r="U54" s="434">
        <v>-6.5771677215408317</v>
      </c>
      <c r="V54" s="435">
        <v>-0.13298791018998274</v>
      </c>
      <c r="W54" s="425"/>
    </row>
    <row r="55" spans="1:25">
      <c r="A55" s="425"/>
      <c r="B55" s="436" t="s">
        <v>146</v>
      </c>
      <c r="C55" s="437">
        <v>6175</v>
      </c>
      <c r="D55" s="438">
        <v>67.265062472086356</v>
      </c>
      <c r="E55" s="439"/>
      <c r="F55" s="437">
        <v>5440</v>
      </c>
      <c r="G55" s="438">
        <v>59.019452551180933</v>
      </c>
      <c r="H55" s="439"/>
      <c r="I55" s="437">
        <v>5154</v>
      </c>
      <c r="J55" s="438">
        <v>55.401197091937469</v>
      </c>
      <c r="K55" s="439"/>
      <c r="L55" s="437">
        <v>5248</v>
      </c>
      <c r="M55" s="438">
        <v>56.0564351199003</v>
      </c>
      <c r="N55" s="438"/>
      <c r="O55" s="679">
        <v>4881</v>
      </c>
      <c r="P55" s="438">
        <v>52.037173796164602</v>
      </c>
      <c r="Q55" s="438"/>
      <c r="R55" s="437">
        <v>4400</v>
      </c>
      <c r="S55" s="438">
        <v>46.401231235579367</v>
      </c>
      <c r="T55" s="436"/>
      <c r="U55" s="440">
        <v>-5.6359425605852351</v>
      </c>
      <c r="V55" s="441">
        <v>-9.8545380045072725E-2</v>
      </c>
      <c r="W55" s="425"/>
    </row>
    <row r="56" spans="1:25" ht="6" customHeight="1">
      <c r="A56" s="425"/>
      <c r="B56" s="426"/>
      <c r="C56" s="432"/>
      <c r="D56" s="433"/>
      <c r="E56" s="427"/>
      <c r="F56" s="432"/>
      <c r="G56" s="433"/>
      <c r="H56" s="427"/>
      <c r="I56" s="432"/>
      <c r="J56" s="433"/>
      <c r="K56" s="427"/>
      <c r="L56" s="432"/>
      <c r="M56" s="433"/>
      <c r="N56" s="433"/>
      <c r="O56" s="678"/>
      <c r="P56" s="433"/>
      <c r="Q56" s="433"/>
      <c r="R56" s="432"/>
      <c r="S56" s="433"/>
      <c r="T56" s="426"/>
      <c r="U56" s="434"/>
      <c r="V56" s="435"/>
      <c r="W56" s="425"/>
    </row>
    <row r="57" spans="1:25">
      <c r="A57" s="425"/>
      <c r="B57" s="426" t="s">
        <v>147</v>
      </c>
      <c r="C57" s="432">
        <v>1330</v>
      </c>
      <c r="D57" s="433">
        <v>77.370564281559041</v>
      </c>
      <c r="E57" s="427"/>
      <c r="F57" s="432">
        <v>1149</v>
      </c>
      <c r="G57" s="433">
        <v>66.435385949696439</v>
      </c>
      <c r="H57" s="427"/>
      <c r="I57" s="432">
        <v>1256</v>
      </c>
      <c r="J57" s="433">
        <v>71.985575374514127</v>
      </c>
      <c r="K57" s="427"/>
      <c r="L57" s="432">
        <v>1258</v>
      </c>
      <c r="M57" s="433">
        <v>71.258476813239398</v>
      </c>
      <c r="N57" s="433"/>
      <c r="O57" s="678">
        <v>1570</v>
      </c>
      <c r="P57" s="433">
        <v>88.931485371053896</v>
      </c>
      <c r="Q57" s="433"/>
      <c r="R57" s="432">
        <v>1559</v>
      </c>
      <c r="S57" s="433">
        <v>87.361155162153295</v>
      </c>
      <c r="T57" s="426"/>
      <c r="U57" s="443">
        <v>-1.5703302089006002</v>
      </c>
      <c r="V57" s="444">
        <v>-7.0063694267515925E-3</v>
      </c>
      <c r="W57" s="425"/>
    </row>
    <row r="58" spans="1:25">
      <c r="A58" s="425"/>
      <c r="B58" s="426" t="s">
        <v>409</v>
      </c>
      <c r="C58" s="432" t="s">
        <v>148</v>
      </c>
      <c r="D58" s="432" t="s">
        <v>148</v>
      </c>
      <c r="E58" s="432"/>
      <c r="F58" s="432" t="s">
        <v>148</v>
      </c>
      <c r="G58" s="432" t="s">
        <v>148</v>
      </c>
      <c r="H58" s="432"/>
      <c r="I58" s="432">
        <v>732</v>
      </c>
      <c r="J58" s="432" t="s">
        <v>148</v>
      </c>
      <c r="K58" s="432"/>
      <c r="L58" s="432">
        <v>794</v>
      </c>
      <c r="M58" s="432">
        <v>43.858825400998903</v>
      </c>
      <c r="N58" s="432"/>
      <c r="O58" s="678">
        <v>951</v>
      </c>
      <c r="P58" s="432">
        <v>52.531162413539001</v>
      </c>
      <c r="Q58" s="432"/>
      <c r="R58" s="432">
        <v>877</v>
      </c>
      <c r="S58" s="432">
        <v>48.129111142575219</v>
      </c>
      <c r="T58" s="432"/>
      <c r="U58" s="432">
        <v>-4.4020512709637813</v>
      </c>
      <c r="V58" s="432">
        <v>-7.7812828601472137E-2</v>
      </c>
      <c r="W58" s="425"/>
    </row>
    <row r="59" spans="1:25">
      <c r="A59" s="425"/>
      <c r="B59" s="426" t="s">
        <v>149</v>
      </c>
      <c r="C59" s="432">
        <v>273</v>
      </c>
      <c r="D59" s="433">
        <v>35.280434220728871</v>
      </c>
      <c r="E59" s="427"/>
      <c r="F59" s="432">
        <v>306</v>
      </c>
      <c r="G59" s="433">
        <v>39.392378990731203</v>
      </c>
      <c r="H59" s="427"/>
      <c r="I59" s="432">
        <v>302</v>
      </c>
      <c r="J59" s="433">
        <v>38.648530012119259</v>
      </c>
      <c r="K59" s="427"/>
      <c r="L59" s="432">
        <v>308</v>
      </c>
      <c r="M59" s="433">
        <v>39.227073813126303</v>
      </c>
      <c r="N59" s="433"/>
      <c r="O59" s="678">
        <v>300</v>
      </c>
      <c r="P59" s="433">
        <v>38.208188779019103</v>
      </c>
      <c r="Q59" s="433"/>
      <c r="R59" s="432">
        <v>274</v>
      </c>
      <c r="S59" s="433">
        <v>34.733710333532358</v>
      </c>
      <c r="T59" s="426"/>
      <c r="U59" s="434">
        <v>-3.4744784454867457</v>
      </c>
      <c r="V59" s="435">
        <v>-8.666666666666667E-2</v>
      </c>
      <c r="W59" s="425"/>
    </row>
    <row r="60" spans="1:25">
      <c r="A60" s="425"/>
      <c r="B60" s="426" t="s">
        <v>150</v>
      </c>
      <c r="C60" s="432">
        <v>320</v>
      </c>
      <c r="D60" s="433">
        <v>50.227593784335269</v>
      </c>
      <c r="E60" s="427"/>
      <c r="F60" s="432">
        <v>306</v>
      </c>
      <c r="G60" s="433">
        <v>47.760262213204307</v>
      </c>
      <c r="H60" s="427"/>
      <c r="I60" s="432">
        <v>293</v>
      </c>
      <c r="J60" s="433">
        <v>45.312057801483704</v>
      </c>
      <c r="K60" s="427"/>
      <c r="L60" s="432">
        <v>339</v>
      </c>
      <c r="M60" s="433">
        <v>51.961269694317501</v>
      </c>
      <c r="N60" s="433"/>
      <c r="O60" s="678">
        <v>292</v>
      </c>
      <c r="P60" s="433">
        <v>44.757199854692402</v>
      </c>
      <c r="Q60" s="433"/>
      <c r="R60" s="432">
        <v>259</v>
      </c>
      <c r="S60" s="433">
        <v>39.285519266589411</v>
      </c>
      <c r="T60" s="426"/>
      <c r="U60" s="434">
        <v>-5.4716805881029913</v>
      </c>
      <c r="V60" s="435">
        <v>-0.11301369863013698</v>
      </c>
      <c r="W60" s="425"/>
      <c r="Y60" s="445"/>
    </row>
    <row r="61" spans="1:25">
      <c r="A61" s="425"/>
      <c r="B61" s="426" t="s">
        <v>151</v>
      </c>
      <c r="C61" s="432">
        <v>288</v>
      </c>
      <c r="D61" s="433">
        <v>39.878150096926063</v>
      </c>
      <c r="E61" s="427"/>
      <c r="F61" s="432">
        <v>290</v>
      </c>
      <c r="G61" s="433">
        <v>39.88995873452545</v>
      </c>
      <c r="H61" s="427"/>
      <c r="I61" s="432">
        <v>271</v>
      </c>
      <c r="J61" s="433">
        <v>36.673965767396041</v>
      </c>
      <c r="K61" s="427"/>
      <c r="L61" s="432">
        <v>304</v>
      </c>
      <c r="M61" s="433">
        <v>40.450167788360503</v>
      </c>
      <c r="N61" s="433"/>
      <c r="O61" s="678">
        <v>278</v>
      </c>
      <c r="P61" s="433">
        <v>36.990613964356001</v>
      </c>
      <c r="Q61" s="433"/>
      <c r="R61" s="432">
        <v>243</v>
      </c>
      <c r="S61" s="433">
        <v>32.126029222788063</v>
      </c>
      <c r="T61" s="426"/>
      <c r="U61" s="434">
        <v>-4.8645847415679384</v>
      </c>
      <c r="V61" s="435">
        <v>-0.12589928057553956</v>
      </c>
      <c r="W61" s="425"/>
    </row>
    <row r="62" spans="1:25">
      <c r="A62" s="425"/>
      <c r="B62" s="436" t="s">
        <v>414</v>
      </c>
      <c r="C62" s="437">
        <v>2211</v>
      </c>
      <c r="D62" s="438">
        <v>39.309462006187104</v>
      </c>
      <c r="E62" s="439"/>
      <c r="F62" s="437">
        <v>2051</v>
      </c>
      <c r="G62" s="438">
        <v>36.242512060221593</v>
      </c>
      <c r="H62" s="439"/>
      <c r="I62" s="437">
        <v>2854</v>
      </c>
      <c r="J62" s="438">
        <v>37.196910818437061</v>
      </c>
      <c r="K62" s="439"/>
      <c r="L62" s="437">
        <v>3003</v>
      </c>
      <c r="M62" s="438">
        <v>52.091274737501102</v>
      </c>
      <c r="N62" s="438"/>
      <c r="O62" s="679">
        <v>3391</v>
      </c>
      <c r="P62" s="438">
        <v>58.821682529093003</v>
      </c>
      <c r="Q62" s="438"/>
      <c r="R62" s="437">
        <v>3212</v>
      </c>
      <c r="S62" s="438">
        <v>55.272015926325082</v>
      </c>
      <c r="T62" s="436"/>
      <c r="U62" s="440">
        <v>-3.5496666027679211</v>
      </c>
      <c r="V62" s="441">
        <v>-5.2786788557947509E-2</v>
      </c>
      <c r="W62" s="446"/>
    </row>
    <row r="63" spans="1:25" ht="6" customHeight="1">
      <c r="A63" s="425"/>
      <c r="B63" s="426"/>
      <c r="C63" s="432"/>
      <c r="D63" s="433"/>
      <c r="E63" s="427"/>
      <c r="F63" s="432"/>
      <c r="G63" s="433"/>
      <c r="H63" s="427"/>
      <c r="I63" s="432"/>
      <c r="J63" s="433"/>
      <c r="K63" s="427"/>
      <c r="L63" s="432"/>
      <c r="M63" s="433"/>
      <c r="N63" s="433"/>
      <c r="O63" s="678"/>
      <c r="P63" s="433"/>
      <c r="Q63" s="433"/>
      <c r="R63" s="432"/>
      <c r="S63" s="433"/>
      <c r="T63" s="426"/>
      <c r="U63" s="434"/>
      <c r="V63" s="435"/>
      <c r="W63" s="425"/>
    </row>
    <row r="64" spans="1:25">
      <c r="A64" s="425"/>
      <c r="B64" s="426" t="s">
        <v>152</v>
      </c>
      <c r="C64" s="432">
        <v>176</v>
      </c>
      <c r="D64" s="433">
        <v>33.86569174523764</v>
      </c>
      <c r="E64" s="427"/>
      <c r="F64" s="432">
        <v>143</v>
      </c>
      <c r="G64" s="433">
        <v>27.357949110388368</v>
      </c>
      <c r="H64" s="427"/>
      <c r="I64" s="432">
        <v>180</v>
      </c>
      <c r="J64" s="433">
        <v>34.878651358814125</v>
      </c>
      <c r="K64" s="427"/>
      <c r="L64" s="432">
        <v>230</v>
      </c>
      <c r="M64" s="433">
        <v>44.317273138915397</v>
      </c>
      <c r="N64" s="433"/>
      <c r="O64" s="678">
        <v>143</v>
      </c>
      <c r="P64" s="433">
        <v>27.553782864630001</v>
      </c>
      <c r="Q64" s="433"/>
      <c r="R64" s="432">
        <v>175</v>
      </c>
      <c r="S64" s="433">
        <v>33.487823827256413</v>
      </c>
      <c r="T64" s="426"/>
      <c r="U64" s="434">
        <v>5.9340409626264119</v>
      </c>
      <c r="V64" s="435">
        <v>0.22377622377622378</v>
      </c>
      <c r="W64" s="425"/>
    </row>
    <row r="65" spans="1:23">
      <c r="A65" s="425"/>
      <c r="B65" s="426" t="s">
        <v>153</v>
      </c>
      <c r="C65" s="432">
        <v>316</v>
      </c>
      <c r="D65" s="433">
        <v>53.180747223157191</v>
      </c>
      <c r="E65" s="427"/>
      <c r="F65" s="432">
        <v>321</v>
      </c>
      <c r="G65" s="433">
        <v>53.660982948846538</v>
      </c>
      <c r="H65" s="427"/>
      <c r="I65" s="432">
        <v>284</v>
      </c>
      <c r="J65" s="433">
        <v>48.274443611540313</v>
      </c>
      <c r="K65" s="427"/>
      <c r="L65" s="432">
        <v>376</v>
      </c>
      <c r="M65" s="433">
        <v>63.578380645117697</v>
      </c>
      <c r="N65" s="433"/>
      <c r="O65" s="678">
        <v>356</v>
      </c>
      <c r="P65" s="433">
        <v>60.196551887398599</v>
      </c>
      <c r="Q65" s="433"/>
      <c r="R65" s="432">
        <v>389</v>
      </c>
      <c r="S65" s="433">
        <v>65.332912336331816</v>
      </c>
      <c r="T65" s="426"/>
      <c r="U65" s="434">
        <v>5.1363604489332175</v>
      </c>
      <c r="V65" s="435">
        <v>9.269662921348315E-2</v>
      </c>
      <c r="W65" s="425"/>
    </row>
    <row r="66" spans="1:23">
      <c r="A66" s="425"/>
      <c r="B66" s="426" t="s">
        <v>154</v>
      </c>
      <c r="C66" s="432">
        <v>387</v>
      </c>
      <c r="D66" s="433">
        <v>55.317324185248715</v>
      </c>
      <c r="E66" s="427"/>
      <c r="F66" s="432">
        <v>371</v>
      </c>
      <c r="G66" s="433">
        <v>52.743815752061415</v>
      </c>
      <c r="H66" s="427"/>
      <c r="I66" s="432">
        <v>339</v>
      </c>
      <c r="J66" s="433">
        <v>49.337940148275791</v>
      </c>
      <c r="K66" s="427"/>
      <c r="L66" s="432">
        <v>301</v>
      </c>
      <c r="M66" s="433">
        <v>43.737222119700498</v>
      </c>
      <c r="N66" s="433"/>
      <c r="O66" s="678">
        <v>340</v>
      </c>
      <c r="P66" s="433">
        <v>49.404171165110199</v>
      </c>
      <c r="Q66" s="433"/>
      <c r="R66" s="432">
        <v>341</v>
      </c>
      <c r="S66" s="433">
        <v>49.278097547511457</v>
      </c>
      <c r="T66" s="426"/>
      <c r="U66" s="434">
        <v>-0.12607361759874181</v>
      </c>
      <c r="V66" s="435">
        <v>2.9411764705882353E-3</v>
      </c>
      <c r="W66" s="425"/>
    </row>
    <row r="67" spans="1:23">
      <c r="A67" s="425"/>
      <c r="B67" s="426" t="s">
        <v>155</v>
      </c>
      <c r="C67" s="432">
        <v>801</v>
      </c>
      <c r="D67" s="433">
        <v>59.802896819471407</v>
      </c>
      <c r="E67" s="427"/>
      <c r="F67" s="432">
        <v>802</v>
      </c>
      <c r="G67" s="433">
        <v>59.614955771946775</v>
      </c>
      <c r="H67" s="427"/>
      <c r="I67" s="432">
        <v>649</v>
      </c>
      <c r="J67" s="433">
        <v>49.393652953649124</v>
      </c>
      <c r="K67" s="427"/>
      <c r="L67" s="432">
        <v>625</v>
      </c>
      <c r="M67" s="433">
        <v>46.884681686768303</v>
      </c>
      <c r="N67" s="433"/>
      <c r="O67" s="678">
        <v>723</v>
      </c>
      <c r="P67" s="433">
        <v>54.236199775253603</v>
      </c>
      <c r="Q67" s="433"/>
      <c r="R67" s="432">
        <v>665</v>
      </c>
      <c r="S67" s="433">
        <v>49.098398358563024</v>
      </c>
      <c r="T67" s="426"/>
      <c r="U67" s="434">
        <v>-5.1378014166905785</v>
      </c>
      <c r="V67" s="435">
        <v>-8.0221300138312593E-2</v>
      </c>
      <c r="W67" s="425"/>
    </row>
    <row r="68" spans="1:23">
      <c r="A68" s="425"/>
      <c r="B68" s="436" t="s">
        <v>156</v>
      </c>
      <c r="C68" s="437">
        <v>1680</v>
      </c>
      <c r="D68" s="438">
        <v>53.284277966316722</v>
      </c>
      <c r="E68" s="439"/>
      <c r="F68" s="437">
        <v>1637</v>
      </c>
      <c r="G68" s="438">
        <v>51.646895507319542</v>
      </c>
      <c r="H68" s="439"/>
      <c r="I68" s="437">
        <v>1452</v>
      </c>
      <c r="J68" s="438">
        <v>46.757110977294467</v>
      </c>
      <c r="K68" s="439"/>
      <c r="L68" s="437">
        <v>1532</v>
      </c>
      <c r="M68" s="438">
        <v>48.920054667841796</v>
      </c>
      <c r="N68" s="438"/>
      <c r="O68" s="679">
        <v>1562</v>
      </c>
      <c r="P68" s="438">
        <v>49.878019184836099</v>
      </c>
      <c r="Q68" s="438"/>
      <c r="R68" s="437">
        <v>1570</v>
      </c>
      <c r="S68" s="438">
        <v>49.614398161549538</v>
      </c>
      <c r="T68" s="436"/>
      <c r="U68" s="440">
        <v>-0.26362102328656078</v>
      </c>
      <c r="V68" s="441">
        <v>5.1216389244558257E-3</v>
      </c>
      <c r="W68" s="425"/>
    </row>
    <row r="69" spans="1:23" ht="6" customHeight="1">
      <c r="A69" s="425"/>
      <c r="B69" s="426"/>
      <c r="C69" s="432"/>
      <c r="D69" s="433"/>
      <c r="E69" s="427"/>
      <c r="F69" s="432"/>
      <c r="G69" s="433"/>
      <c r="H69" s="427"/>
      <c r="I69" s="432"/>
      <c r="J69" s="433"/>
      <c r="K69" s="427"/>
      <c r="L69" s="432"/>
      <c r="M69" s="433"/>
      <c r="N69" s="433"/>
      <c r="O69" s="678"/>
      <c r="P69" s="433"/>
      <c r="Q69" s="433"/>
      <c r="R69" s="432"/>
      <c r="S69" s="433"/>
      <c r="T69" s="426"/>
      <c r="U69" s="434"/>
      <c r="V69" s="435"/>
      <c r="W69" s="425"/>
    </row>
    <row r="70" spans="1:23">
      <c r="A70" s="425"/>
      <c r="B70" s="447" t="s">
        <v>157</v>
      </c>
      <c r="C70" s="437">
        <v>225</v>
      </c>
      <c r="D70" s="438" t="s">
        <v>94</v>
      </c>
      <c r="E70" s="439"/>
      <c r="F70" s="437">
        <v>276</v>
      </c>
      <c r="G70" s="438" t="s">
        <v>94</v>
      </c>
      <c r="H70" s="439"/>
      <c r="I70" s="437">
        <v>393</v>
      </c>
      <c r="J70" s="438" t="s">
        <v>94</v>
      </c>
      <c r="K70" s="439"/>
      <c r="L70" s="437">
        <v>433</v>
      </c>
      <c r="M70" s="438" t="s">
        <v>94</v>
      </c>
      <c r="N70" s="438"/>
      <c r="O70" s="679">
        <v>586</v>
      </c>
      <c r="P70" s="438" t="s">
        <v>94</v>
      </c>
      <c r="Q70" s="438"/>
      <c r="R70" s="437">
        <v>394</v>
      </c>
      <c r="S70" s="438" t="s">
        <v>94</v>
      </c>
      <c r="T70" s="439"/>
      <c r="U70" s="448" t="s">
        <v>94</v>
      </c>
      <c r="V70" s="449" t="s">
        <v>94</v>
      </c>
      <c r="W70" s="425"/>
    </row>
    <row r="71" spans="1:23" ht="6" customHeight="1">
      <c r="A71" s="425"/>
      <c r="B71" s="426"/>
      <c r="C71" s="432"/>
      <c r="D71" s="433" t="s">
        <v>94</v>
      </c>
      <c r="E71" s="427"/>
      <c r="F71" s="432"/>
      <c r="G71" s="433"/>
      <c r="H71" s="427"/>
      <c r="I71" s="432"/>
      <c r="J71" s="433"/>
      <c r="K71" s="427"/>
      <c r="L71" s="432"/>
      <c r="M71" s="433"/>
      <c r="N71" s="433"/>
      <c r="O71" s="678"/>
      <c r="P71" s="433"/>
      <c r="Q71" s="433"/>
      <c r="R71" s="432"/>
      <c r="S71" s="433"/>
      <c r="T71" s="426"/>
      <c r="U71" s="434"/>
      <c r="V71" s="435"/>
      <c r="W71" s="425"/>
    </row>
    <row r="72" spans="1:23">
      <c r="A72" s="425"/>
      <c r="B72" s="436" t="s">
        <v>404</v>
      </c>
      <c r="C72" s="437">
        <v>54293</v>
      </c>
      <c r="D72" s="438">
        <v>91.341155252877698</v>
      </c>
      <c r="E72" s="439"/>
      <c r="F72" s="437">
        <v>43954</v>
      </c>
      <c r="G72" s="438">
        <v>75</v>
      </c>
      <c r="H72" s="439"/>
      <c r="I72" s="437">
        <v>49229</v>
      </c>
      <c r="J72" s="438">
        <v>80.717083307518294</v>
      </c>
      <c r="K72" s="439"/>
      <c r="L72" s="437">
        <v>51742</v>
      </c>
      <c r="M72" s="438">
        <v>84.444670363655504</v>
      </c>
      <c r="N72" s="438"/>
      <c r="O72" s="679">
        <v>53685</v>
      </c>
      <c r="P72" s="438">
        <v>89.1214285564878</v>
      </c>
      <c r="Q72" s="438"/>
      <c r="R72" s="437">
        <v>53047</v>
      </c>
      <c r="S72" s="438">
        <v>87.169892324058893</v>
      </c>
      <c r="T72" s="436"/>
      <c r="U72" s="440">
        <v>-1.9515362324289072</v>
      </c>
      <c r="V72" s="441">
        <v>4.8770240294318645E-2</v>
      </c>
      <c r="W72" s="425"/>
    </row>
    <row r="73" spans="1:23" ht="6" customHeight="1">
      <c r="A73" s="425"/>
      <c r="B73" s="450"/>
      <c r="C73" s="450"/>
      <c r="D73" s="450"/>
      <c r="E73" s="450"/>
      <c r="F73" s="450"/>
      <c r="G73" s="450"/>
      <c r="H73" s="450"/>
      <c r="I73" s="451"/>
      <c r="J73" s="450"/>
      <c r="K73" s="450"/>
      <c r="L73" s="450"/>
      <c r="M73" s="450"/>
      <c r="N73" s="450"/>
      <c r="O73" s="450"/>
      <c r="P73" s="450"/>
      <c r="Q73" s="450"/>
      <c r="R73" s="450"/>
      <c r="S73" s="450"/>
      <c r="T73" s="450"/>
      <c r="U73" s="450"/>
      <c r="V73" s="450"/>
      <c r="W73" s="425"/>
    </row>
    <row r="74" spans="1:23" ht="13.5" customHeight="1">
      <c r="A74" s="452"/>
      <c r="B74" s="452" t="s">
        <v>34</v>
      </c>
      <c r="C74" s="452"/>
      <c r="D74" s="452"/>
      <c r="E74" s="452"/>
      <c r="F74" s="452"/>
      <c r="G74" s="452"/>
      <c r="H74" s="452"/>
      <c r="I74" s="452"/>
      <c r="J74" s="452"/>
      <c r="K74" s="452"/>
      <c r="L74" s="452"/>
      <c r="M74" s="452"/>
      <c r="N74" s="452"/>
      <c r="O74" s="452"/>
      <c r="P74" s="452"/>
      <c r="Q74" s="452"/>
      <c r="R74" s="452"/>
      <c r="S74" s="452"/>
      <c r="T74" s="452"/>
      <c r="U74" s="452"/>
      <c r="V74" s="452"/>
      <c r="W74" s="452"/>
    </row>
    <row r="75" spans="1:23">
      <c r="A75" s="452"/>
      <c r="B75" s="452" t="s">
        <v>158</v>
      </c>
      <c r="C75" s="452"/>
      <c r="D75" s="452"/>
      <c r="E75" s="452"/>
      <c r="F75" s="452"/>
      <c r="G75" s="452"/>
      <c r="H75" s="452"/>
      <c r="I75" s="452"/>
      <c r="J75" s="452"/>
      <c r="K75" s="452"/>
      <c r="L75" s="452"/>
      <c r="M75" s="452"/>
      <c r="N75" s="452"/>
      <c r="O75" s="452"/>
      <c r="P75" s="452"/>
      <c r="Q75" s="452"/>
      <c r="R75" s="452"/>
      <c r="S75" s="452"/>
      <c r="T75" s="452"/>
      <c r="U75" s="452"/>
      <c r="V75" s="452"/>
      <c r="W75" s="452"/>
    </row>
    <row r="76" spans="1:23" ht="27" customHeight="1">
      <c r="A76" s="452"/>
      <c r="B76" s="724" t="s">
        <v>412</v>
      </c>
      <c r="C76" s="724"/>
      <c r="D76" s="724"/>
      <c r="E76" s="724"/>
      <c r="F76" s="724"/>
      <c r="G76" s="724"/>
      <c r="H76" s="724"/>
      <c r="I76" s="724"/>
      <c r="J76" s="724"/>
      <c r="K76" s="724"/>
      <c r="L76" s="724"/>
      <c r="M76" s="724"/>
      <c r="N76" s="724"/>
      <c r="O76" s="724"/>
      <c r="P76" s="724"/>
      <c r="Q76" s="724"/>
      <c r="R76" s="724"/>
      <c r="S76" s="724"/>
      <c r="T76" s="724"/>
      <c r="U76" s="724"/>
      <c r="V76" s="724"/>
      <c r="W76" s="452"/>
    </row>
    <row r="77" spans="1:23">
      <c r="A77" s="452"/>
      <c r="B77" s="696" t="s">
        <v>408</v>
      </c>
      <c r="C77" s="689"/>
      <c r="D77" s="689"/>
      <c r="E77" s="689"/>
      <c r="F77" s="689"/>
      <c r="G77" s="689"/>
      <c r="H77" s="689"/>
      <c r="I77" s="689"/>
      <c r="J77" s="689"/>
      <c r="K77" s="689"/>
      <c r="L77" s="689"/>
      <c r="M77" s="689"/>
      <c r="N77" s="689"/>
      <c r="O77" s="689"/>
      <c r="P77" s="689"/>
      <c r="Q77" s="689"/>
      <c r="R77" s="689"/>
      <c r="S77" s="689"/>
      <c r="T77" s="689"/>
      <c r="U77" s="689"/>
      <c r="V77" s="689"/>
      <c r="W77" s="452"/>
    </row>
    <row r="78" spans="1:23" ht="6" customHeight="1">
      <c r="A78" s="425"/>
      <c r="B78" s="425"/>
      <c r="C78" s="425"/>
      <c r="D78" s="425"/>
      <c r="E78" s="425"/>
      <c r="F78" s="425"/>
      <c r="G78" s="425"/>
      <c r="H78" s="425"/>
      <c r="I78" s="425"/>
      <c r="J78" s="425"/>
      <c r="K78" s="425"/>
      <c r="L78" s="425"/>
      <c r="M78" s="425"/>
      <c r="N78" s="425"/>
      <c r="O78" s="425"/>
      <c r="P78" s="425"/>
      <c r="Q78" s="425"/>
      <c r="R78" s="425"/>
      <c r="S78" s="425"/>
      <c r="T78" s="425"/>
      <c r="U78" s="425"/>
      <c r="V78" s="425"/>
      <c r="W78" s="425"/>
    </row>
    <row r="79" spans="1:23" ht="13.5" customHeight="1">
      <c r="A79" s="425"/>
      <c r="B79" s="453" t="s">
        <v>417</v>
      </c>
      <c r="C79" s="425"/>
      <c r="D79" s="425"/>
      <c r="E79" s="425"/>
      <c r="F79" s="425"/>
      <c r="G79" s="425"/>
      <c r="H79" s="425"/>
      <c r="I79" s="425"/>
      <c r="J79" s="425"/>
      <c r="K79" s="425"/>
      <c r="L79" s="425"/>
      <c r="M79" s="425"/>
      <c r="N79" s="425"/>
      <c r="O79" s="425"/>
      <c r="P79" s="425"/>
      <c r="Q79" s="425"/>
      <c r="R79" s="425"/>
      <c r="S79" s="425"/>
      <c r="T79" s="425"/>
      <c r="U79" s="425"/>
      <c r="V79" s="425"/>
      <c r="W79" s="425"/>
    </row>
    <row r="80" spans="1:23" ht="6" customHeight="1">
      <c r="A80" s="425"/>
      <c r="B80" s="425"/>
      <c r="C80" s="425"/>
      <c r="D80" s="425"/>
      <c r="E80" s="425"/>
      <c r="F80" s="425"/>
      <c r="G80" s="425"/>
      <c r="H80" s="425"/>
      <c r="I80" s="425"/>
      <c r="J80" s="425"/>
      <c r="K80" s="425"/>
      <c r="L80" s="425"/>
      <c r="M80" s="425"/>
      <c r="N80" s="425"/>
      <c r="O80" s="425"/>
      <c r="P80" s="425"/>
      <c r="Q80" s="425"/>
      <c r="R80" s="425"/>
      <c r="S80" s="425"/>
      <c r="T80" s="425"/>
      <c r="U80" s="425"/>
      <c r="V80" s="425"/>
      <c r="W80" s="425"/>
    </row>
  </sheetData>
  <mergeCells count="8">
    <mergeCell ref="I5:J5"/>
    <mergeCell ref="L5:M5"/>
    <mergeCell ref="U5:V5"/>
    <mergeCell ref="B76:V76"/>
    <mergeCell ref="C5:D5"/>
    <mergeCell ref="F5:G5"/>
    <mergeCell ref="O5:P5"/>
    <mergeCell ref="R5:S5"/>
  </mergeCells>
  <hyperlinks>
    <hyperlink ref="B79" r:id="rId1" display="Source: ONS, Crime in England and Wales: Police Force Area Data Tables, Table P6, 20 July 2023 and earlier editions" xr:uid="{2F6971C7-8D37-4F7A-ADF9-B3462D263D75}"/>
  </hyperlinks>
  <pageMargins left="0.7" right="0.7" top="0.75" bottom="0.75" header="0.3" footer="0.3"/>
  <pageSetup paperSize="9" orientation="portrait" verticalDpi="120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053B-4DDF-4F7E-A8FE-F2B3FDBCF191}">
  <sheetPr>
    <tabColor rgb="FFFFFF00"/>
  </sheetPr>
  <dimension ref="A1:P54"/>
  <sheetViews>
    <sheetView zoomScaleNormal="100" workbookViewId="0">
      <selection activeCell="Q22" sqref="Q22"/>
    </sheetView>
  </sheetViews>
  <sheetFormatPr baseColWidth="10" defaultColWidth="8.83203125" defaultRowHeight="13"/>
  <cols>
    <col min="1" max="1" width="1.5" customWidth="1"/>
    <col min="2" max="2" width="22.33203125" customWidth="1"/>
    <col min="3" max="3" width="10.5" customWidth="1"/>
    <col min="4" max="4" width="11.33203125" hidden="1" customWidth="1"/>
    <col min="5" max="5" width="9.83203125" customWidth="1"/>
    <col min="6" max="6" width="1.5" customWidth="1"/>
    <col min="7" max="7" width="9.5" customWidth="1"/>
    <col min="8" max="8" width="8.6640625" customWidth="1"/>
    <col min="9" max="9" width="10.1640625" customWidth="1"/>
    <col min="10" max="10" width="1.5" customWidth="1"/>
    <col min="11" max="11" width="10" customWidth="1"/>
    <col min="12" max="12" width="1.5" customWidth="1"/>
    <col min="16" max="16" width="12.5" bestFit="1" customWidth="1"/>
  </cols>
  <sheetData>
    <row r="1" spans="1:12" ht="6" customHeight="1">
      <c r="A1" s="107"/>
      <c r="B1" s="107"/>
      <c r="C1" s="107"/>
      <c r="D1" s="107"/>
      <c r="E1" s="107"/>
      <c r="F1" s="107"/>
      <c r="G1" s="107"/>
      <c r="H1" s="107"/>
      <c r="I1" s="107"/>
      <c r="J1" s="107"/>
      <c r="K1" s="107"/>
      <c r="L1" s="107"/>
    </row>
    <row r="2" spans="1:12" ht="18">
      <c r="A2" s="107"/>
      <c r="B2" s="293" t="s">
        <v>159</v>
      </c>
      <c r="C2" s="294"/>
      <c r="D2" s="294"/>
      <c r="E2" s="294"/>
      <c r="F2" s="294"/>
      <c r="G2" s="294"/>
      <c r="H2" s="294"/>
      <c r="I2" s="294"/>
      <c r="J2" s="294"/>
      <c r="K2" s="294"/>
      <c r="L2" s="294"/>
    </row>
    <row r="3" spans="1:12" ht="6" customHeight="1">
      <c r="A3" s="107"/>
      <c r="B3" s="293"/>
      <c r="C3" s="294"/>
      <c r="D3" s="294"/>
      <c r="E3" s="294"/>
      <c r="F3" s="294"/>
      <c r="G3" s="294"/>
      <c r="H3" s="294"/>
      <c r="I3" s="294"/>
      <c r="J3" s="294"/>
      <c r="K3" s="294"/>
      <c r="L3" s="294"/>
    </row>
    <row r="4" spans="1:12" ht="6" customHeight="1">
      <c r="A4" s="84"/>
      <c r="B4" s="277"/>
      <c r="C4" s="277"/>
      <c r="D4" s="277"/>
      <c r="E4" s="277"/>
      <c r="F4" s="277"/>
      <c r="G4" s="277"/>
      <c r="H4" s="277"/>
      <c r="I4" s="277"/>
      <c r="J4" s="277"/>
      <c r="K4" s="725" t="s">
        <v>160</v>
      </c>
      <c r="L4" s="295"/>
    </row>
    <row r="5" spans="1:12" ht="13.5" customHeight="1">
      <c r="A5" s="84"/>
      <c r="B5" s="277"/>
      <c r="C5" s="727" t="s">
        <v>25</v>
      </c>
      <c r="D5" s="727"/>
      <c r="E5" s="727"/>
      <c r="F5" s="277"/>
      <c r="G5" s="727" t="s">
        <v>26</v>
      </c>
      <c r="H5" s="727"/>
      <c r="I5" s="727"/>
      <c r="J5" s="277"/>
      <c r="K5" s="725"/>
      <c r="L5" s="295"/>
    </row>
    <row r="6" spans="1:12" ht="14">
      <c r="A6" s="84"/>
      <c r="B6" s="277"/>
      <c r="C6" s="277"/>
      <c r="D6" s="277"/>
      <c r="E6" s="277"/>
      <c r="F6" s="277"/>
      <c r="G6" s="277"/>
      <c r="H6" s="277"/>
      <c r="I6" s="277"/>
      <c r="J6" s="277"/>
      <c r="K6" s="725"/>
      <c r="L6" s="295"/>
    </row>
    <row r="7" spans="1:12" ht="22.5" customHeight="1">
      <c r="A7" s="84"/>
      <c r="B7" s="301" t="s">
        <v>161</v>
      </c>
      <c r="C7" s="289" t="s">
        <v>67</v>
      </c>
      <c r="D7" s="289"/>
      <c r="E7" s="290" t="s">
        <v>162</v>
      </c>
      <c r="F7" s="289"/>
      <c r="G7" s="289" t="s">
        <v>67</v>
      </c>
      <c r="H7" s="289"/>
      <c r="I7" s="290" t="s">
        <v>162</v>
      </c>
      <c r="J7" s="301"/>
      <c r="K7" s="726"/>
      <c r="L7" s="295"/>
    </row>
    <row r="8" spans="1:12" ht="6" customHeight="1">
      <c r="A8" s="84"/>
      <c r="B8" s="277"/>
      <c r="C8" s="277"/>
      <c r="D8" s="277"/>
      <c r="E8" s="302"/>
      <c r="F8" s="277"/>
      <c r="G8" s="277"/>
      <c r="H8" s="277"/>
      <c r="I8" s="302"/>
      <c r="J8" s="277"/>
      <c r="K8" s="303"/>
      <c r="L8" s="295"/>
    </row>
    <row r="9" spans="1:12" ht="14">
      <c r="A9" s="84"/>
      <c r="B9" s="277" t="s">
        <v>163</v>
      </c>
      <c r="C9" s="346">
        <v>423</v>
      </c>
      <c r="D9" s="346">
        <v>423</v>
      </c>
      <c r="E9" s="346">
        <v>99</v>
      </c>
      <c r="F9" s="277"/>
      <c r="G9" s="346">
        <v>722</v>
      </c>
      <c r="H9" s="277">
        <v>722</v>
      </c>
      <c r="I9" s="346">
        <v>164</v>
      </c>
      <c r="J9" s="277"/>
      <c r="K9" s="304">
        <v>0.70685579196217496</v>
      </c>
      <c r="L9" s="297"/>
    </row>
    <row r="10" spans="1:12" ht="14">
      <c r="A10" s="84"/>
      <c r="B10" s="277" t="s">
        <v>164</v>
      </c>
      <c r="C10" s="346">
        <v>518</v>
      </c>
      <c r="D10" s="346">
        <v>518</v>
      </c>
      <c r="E10" s="346">
        <v>131</v>
      </c>
      <c r="F10" s="277"/>
      <c r="G10" s="346">
        <v>666</v>
      </c>
      <c r="H10" s="277">
        <v>666</v>
      </c>
      <c r="I10" s="346">
        <v>136</v>
      </c>
      <c r="J10" s="277"/>
      <c r="K10" s="304">
        <v>0.28571428571428581</v>
      </c>
      <c r="L10" s="297"/>
    </row>
    <row r="11" spans="1:12" ht="14">
      <c r="A11" s="84"/>
      <c r="B11" s="277" t="s">
        <v>165</v>
      </c>
      <c r="C11" s="346">
        <v>471</v>
      </c>
      <c r="D11" s="346">
        <v>471</v>
      </c>
      <c r="E11" s="346">
        <v>114</v>
      </c>
      <c r="F11" s="277"/>
      <c r="G11" s="346">
        <v>610</v>
      </c>
      <c r="H11" s="277">
        <v>610</v>
      </c>
      <c r="I11" s="346">
        <v>149</v>
      </c>
      <c r="J11" s="277"/>
      <c r="K11" s="304">
        <v>0.29511677282377913</v>
      </c>
      <c r="L11" s="297"/>
    </row>
    <row r="12" spans="1:12" ht="14">
      <c r="A12" s="84"/>
      <c r="B12" s="277" t="s">
        <v>166</v>
      </c>
      <c r="C12" s="346">
        <v>454</v>
      </c>
      <c r="D12" s="346">
        <v>454</v>
      </c>
      <c r="E12" s="346">
        <v>167</v>
      </c>
      <c r="F12" s="277"/>
      <c r="G12" s="346">
        <v>599</v>
      </c>
      <c r="H12" s="277">
        <v>599</v>
      </c>
      <c r="I12" s="346">
        <v>175</v>
      </c>
      <c r="J12" s="277"/>
      <c r="K12" s="304">
        <v>0.3193832599118942</v>
      </c>
      <c r="L12" s="297"/>
    </row>
    <row r="13" spans="1:12" ht="14">
      <c r="A13" s="84"/>
      <c r="B13" s="277" t="s">
        <v>167</v>
      </c>
      <c r="C13" s="346">
        <v>464</v>
      </c>
      <c r="D13" s="346">
        <v>464</v>
      </c>
      <c r="E13" s="346">
        <v>183</v>
      </c>
      <c r="F13" s="277"/>
      <c r="G13" s="346">
        <v>537</v>
      </c>
      <c r="H13" s="277">
        <v>537</v>
      </c>
      <c r="I13" s="346">
        <v>171</v>
      </c>
      <c r="J13" s="277"/>
      <c r="K13" s="304">
        <v>0.15732758620689657</v>
      </c>
      <c r="L13" s="297"/>
    </row>
    <row r="14" spans="1:12" ht="14">
      <c r="A14" s="84"/>
      <c r="B14" s="277" t="s">
        <v>168</v>
      </c>
      <c r="C14" s="346">
        <v>551</v>
      </c>
      <c r="D14" s="346">
        <v>551</v>
      </c>
      <c r="E14" s="346">
        <v>145</v>
      </c>
      <c r="F14" s="277"/>
      <c r="G14" s="346">
        <v>534</v>
      </c>
      <c r="H14" s="277">
        <v>534</v>
      </c>
      <c r="I14" s="346">
        <v>156</v>
      </c>
      <c r="J14" s="277"/>
      <c r="K14" s="304">
        <v>-3.0852994555353952E-2</v>
      </c>
      <c r="L14" s="297"/>
    </row>
    <row r="15" spans="1:12" ht="14">
      <c r="A15" s="84"/>
      <c r="B15" s="277" t="s">
        <v>169</v>
      </c>
      <c r="C15" s="346">
        <v>469</v>
      </c>
      <c r="D15" s="346">
        <v>469</v>
      </c>
      <c r="E15" s="346">
        <v>132</v>
      </c>
      <c r="F15" s="277"/>
      <c r="G15" s="346">
        <v>522</v>
      </c>
      <c r="H15" s="277">
        <v>522</v>
      </c>
      <c r="I15" s="346">
        <v>189</v>
      </c>
      <c r="J15" s="277"/>
      <c r="K15" s="304">
        <v>0.11300639658848621</v>
      </c>
      <c r="L15" s="297"/>
    </row>
    <row r="16" spans="1:12" ht="14">
      <c r="A16" s="84"/>
      <c r="B16" s="277" t="s">
        <v>170</v>
      </c>
      <c r="C16" s="346">
        <v>496</v>
      </c>
      <c r="D16" s="346">
        <v>496</v>
      </c>
      <c r="E16" s="346">
        <v>128</v>
      </c>
      <c r="F16" s="277"/>
      <c r="G16" s="346">
        <v>498</v>
      </c>
      <c r="H16" s="277">
        <v>498</v>
      </c>
      <c r="I16" s="346">
        <v>135</v>
      </c>
      <c r="J16" s="277"/>
      <c r="K16" s="304">
        <v>4.0322580645162365E-3</v>
      </c>
      <c r="L16" s="297"/>
    </row>
    <row r="17" spans="1:12" ht="14">
      <c r="A17" s="84"/>
      <c r="B17" s="277" t="s">
        <v>171</v>
      </c>
      <c r="C17" s="346">
        <v>516</v>
      </c>
      <c r="D17" s="346">
        <v>516</v>
      </c>
      <c r="E17" s="346">
        <v>167</v>
      </c>
      <c r="F17" s="277"/>
      <c r="G17" s="346">
        <v>494</v>
      </c>
      <c r="H17" s="277">
        <v>494</v>
      </c>
      <c r="I17" s="346">
        <v>154</v>
      </c>
      <c r="J17" s="277"/>
      <c r="K17" s="304">
        <v>-4.2635658914728647E-2</v>
      </c>
      <c r="L17" s="297"/>
    </row>
    <row r="18" spans="1:12" ht="14">
      <c r="A18" s="84"/>
      <c r="B18" s="277" t="s">
        <v>172</v>
      </c>
      <c r="C18" s="346">
        <v>378</v>
      </c>
      <c r="D18" s="346">
        <v>378</v>
      </c>
      <c r="E18" s="346">
        <v>124</v>
      </c>
      <c r="F18" s="277"/>
      <c r="G18" s="346">
        <v>399</v>
      </c>
      <c r="H18" s="277">
        <v>399</v>
      </c>
      <c r="I18" s="346">
        <v>139</v>
      </c>
      <c r="J18" s="277"/>
      <c r="K18" s="304">
        <v>5.555555555555558E-2</v>
      </c>
      <c r="L18" s="297"/>
    </row>
    <row r="19" spans="1:12" ht="14">
      <c r="A19" s="84"/>
      <c r="B19" s="277" t="s">
        <v>173</v>
      </c>
      <c r="C19" s="346">
        <v>330</v>
      </c>
      <c r="D19" s="346">
        <v>330</v>
      </c>
      <c r="E19" s="346">
        <v>119</v>
      </c>
      <c r="F19" s="277"/>
      <c r="G19" s="346">
        <v>387</v>
      </c>
      <c r="H19" s="277">
        <v>387</v>
      </c>
      <c r="I19" s="346">
        <v>155</v>
      </c>
      <c r="J19" s="277"/>
      <c r="K19" s="304">
        <v>0.17272727272727262</v>
      </c>
      <c r="L19" s="297"/>
    </row>
    <row r="20" spans="1:12" ht="14">
      <c r="A20" s="84"/>
      <c r="B20" s="277" t="s">
        <v>174</v>
      </c>
      <c r="C20" s="346">
        <v>466</v>
      </c>
      <c r="D20" s="346">
        <v>466</v>
      </c>
      <c r="E20" s="346">
        <v>134</v>
      </c>
      <c r="F20" s="277"/>
      <c r="G20" s="346">
        <v>377</v>
      </c>
      <c r="H20" s="277">
        <v>377</v>
      </c>
      <c r="I20" s="346">
        <v>143</v>
      </c>
      <c r="J20" s="277"/>
      <c r="K20" s="304">
        <v>-0.19098712446351929</v>
      </c>
      <c r="L20" s="297"/>
    </row>
    <row r="21" spans="1:12" ht="14">
      <c r="A21" s="84"/>
      <c r="B21" s="277" t="s">
        <v>175</v>
      </c>
      <c r="C21" s="346">
        <v>416</v>
      </c>
      <c r="D21" s="346">
        <v>416</v>
      </c>
      <c r="E21" s="346">
        <v>150</v>
      </c>
      <c r="F21" s="277"/>
      <c r="G21" s="346">
        <v>365</v>
      </c>
      <c r="H21" s="277">
        <v>365</v>
      </c>
      <c r="I21" s="346">
        <v>116</v>
      </c>
      <c r="J21" s="277"/>
      <c r="K21" s="304">
        <v>-0.12259615384615385</v>
      </c>
      <c r="L21" s="297"/>
    </row>
    <row r="22" spans="1:12" ht="14">
      <c r="A22" s="84"/>
      <c r="B22" s="277" t="s">
        <v>176</v>
      </c>
      <c r="C22" s="346">
        <v>314</v>
      </c>
      <c r="D22" s="346">
        <v>314</v>
      </c>
      <c r="E22" s="346">
        <v>84</v>
      </c>
      <c r="F22" s="277"/>
      <c r="G22" s="346">
        <v>356</v>
      </c>
      <c r="H22" s="277">
        <v>356</v>
      </c>
      <c r="I22" s="346">
        <v>101</v>
      </c>
      <c r="J22" s="277"/>
      <c r="K22" s="304">
        <v>0.13375796178343946</v>
      </c>
      <c r="L22" s="297"/>
    </row>
    <row r="23" spans="1:12" ht="14">
      <c r="A23" s="84"/>
      <c r="B23" s="277" t="s">
        <v>177</v>
      </c>
      <c r="C23" s="346">
        <v>424</v>
      </c>
      <c r="D23" s="346">
        <v>424</v>
      </c>
      <c r="E23" s="346">
        <v>92</v>
      </c>
      <c r="F23" s="277"/>
      <c r="G23" s="346">
        <v>355</v>
      </c>
      <c r="H23" s="277">
        <v>355</v>
      </c>
      <c r="I23" s="346">
        <v>95</v>
      </c>
      <c r="J23" s="277"/>
      <c r="K23" s="304">
        <v>-0.16273584905660377</v>
      </c>
      <c r="L23" s="297"/>
    </row>
    <row r="24" spans="1:12" ht="14">
      <c r="A24" s="84"/>
      <c r="B24" s="277" t="s">
        <v>178</v>
      </c>
      <c r="C24" s="346">
        <v>342</v>
      </c>
      <c r="D24" s="346">
        <v>342</v>
      </c>
      <c r="E24" s="346">
        <v>104</v>
      </c>
      <c r="F24" s="277"/>
      <c r="G24" s="346">
        <v>354</v>
      </c>
      <c r="H24" s="277">
        <v>354</v>
      </c>
      <c r="I24" s="346">
        <v>103</v>
      </c>
      <c r="J24" s="277"/>
      <c r="K24" s="304">
        <v>3.5087719298245723E-2</v>
      </c>
      <c r="L24" s="297"/>
    </row>
    <row r="25" spans="1:12" ht="14">
      <c r="A25" s="84"/>
      <c r="B25" s="277" t="s">
        <v>179</v>
      </c>
      <c r="C25" s="346">
        <v>314</v>
      </c>
      <c r="D25" s="346">
        <v>314</v>
      </c>
      <c r="E25" s="346">
        <v>105</v>
      </c>
      <c r="F25" s="277"/>
      <c r="G25" s="346">
        <v>329</v>
      </c>
      <c r="H25" s="277">
        <v>329</v>
      </c>
      <c r="I25" s="346">
        <v>80</v>
      </c>
      <c r="J25" s="277"/>
      <c r="K25" s="304">
        <v>4.7770700636942776E-2</v>
      </c>
      <c r="L25" s="297"/>
    </row>
    <row r="26" spans="1:12" ht="14">
      <c r="A26" s="84"/>
      <c r="B26" s="277" t="s">
        <v>180</v>
      </c>
      <c r="C26" s="346">
        <v>344</v>
      </c>
      <c r="D26" s="346">
        <v>344</v>
      </c>
      <c r="E26" s="346">
        <v>99</v>
      </c>
      <c r="F26" s="277"/>
      <c r="G26" s="346">
        <v>321</v>
      </c>
      <c r="H26" s="277">
        <v>321</v>
      </c>
      <c r="I26" s="346">
        <v>95</v>
      </c>
      <c r="J26" s="277"/>
      <c r="K26" s="304">
        <v>-6.6860465116279078E-2</v>
      </c>
      <c r="L26" s="297"/>
    </row>
    <row r="27" spans="1:12" ht="14">
      <c r="A27" s="84"/>
      <c r="B27" s="277" t="s">
        <v>181</v>
      </c>
      <c r="C27" s="346">
        <v>234</v>
      </c>
      <c r="D27" s="346">
        <v>234</v>
      </c>
      <c r="E27" s="346">
        <v>68</v>
      </c>
      <c r="F27" s="277"/>
      <c r="G27" s="346">
        <v>318</v>
      </c>
      <c r="H27" s="277">
        <v>318</v>
      </c>
      <c r="I27" s="346">
        <v>89</v>
      </c>
      <c r="J27" s="277"/>
      <c r="K27" s="304">
        <v>0.35897435897435903</v>
      </c>
      <c r="L27" s="297"/>
    </row>
    <row r="28" spans="1:12" ht="14">
      <c r="A28" s="84"/>
      <c r="B28" s="277" t="s">
        <v>182</v>
      </c>
      <c r="C28" s="346">
        <v>299</v>
      </c>
      <c r="D28" s="346">
        <v>299</v>
      </c>
      <c r="E28" s="346">
        <v>85</v>
      </c>
      <c r="F28" s="277"/>
      <c r="G28" s="346">
        <v>290</v>
      </c>
      <c r="H28" s="277">
        <v>290</v>
      </c>
      <c r="I28" s="346">
        <v>83</v>
      </c>
      <c r="J28" s="277"/>
      <c r="K28" s="304">
        <v>-3.0100334448160515E-2</v>
      </c>
      <c r="L28" s="297"/>
    </row>
    <row r="29" spans="1:12" ht="14">
      <c r="A29" s="84"/>
      <c r="B29" s="277" t="s">
        <v>183</v>
      </c>
      <c r="C29" s="346">
        <v>278</v>
      </c>
      <c r="D29" s="346">
        <v>278</v>
      </c>
      <c r="E29" s="346">
        <v>84</v>
      </c>
      <c r="F29" s="277"/>
      <c r="G29" s="346">
        <v>257</v>
      </c>
      <c r="H29" s="277">
        <v>257</v>
      </c>
      <c r="I29" s="346">
        <v>68</v>
      </c>
      <c r="J29" s="277"/>
      <c r="K29" s="304">
        <v>-7.5539568345323715E-2</v>
      </c>
      <c r="L29" s="297"/>
    </row>
    <row r="30" spans="1:12" ht="14">
      <c r="A30" s="84"/>
      <c r="B30" s="277" t="s">
        <v>184</v>
      </c>
      <c r="C30" s="346">
        <v>217</v>
      </c>
      <c r="D30" s="346">
        <v>217</v>
      </c>
      <c r="E30" s="346">
        <v>72</v>
      </c>
      <c r="F30" s="277"/>
      <c r="G30" s="346">
        <v>235</v>
      </c>
      <c r="H30" s="277">
        <v>235</v>
      </c>
      <c r="I30" s="346">
        <v>91</v>
      </c>
      <c r="J30" s="277"/>
      <c r="K30" s="304">
        <v>8.2949308755760454E-2</v>
      </c>
      <c r="L30" s="297"/>
    </row>
    <row r="31" spans="1:12" ht="14">
      <c r="A31" s="84"/>
      <c r="B31" s="277" t="s">
        <v>185</v>
      </c>
      <c r="C31" s="346">
        <v>216</v>
      </c>
      <c r="D31" s="346">
        <v>216</v>
      </c>
      <c r="E31" s="346">
        <v>57</v>
      </c>
      <c r="F31" s="277"/>
      <c r="G31" s="346">
        <v>210</v>
      </c>
      <c r="H31" s="277">
        <v>210</v>
      </c>
      <c r="I31" s="346">
        <v>56</v>
      </c>
      <c r="J31" s="277"/>
      <c r="K31" s="304">
        <v>-2.777777777777779E-2</v>
      </c>
      <c r="L31" s="297"/>
    </row>
    <row r="32" spans="1:12" ht="14">
      <c r="A32" s="84"/>
      <c r="B32" s="277" t="s">
        <v>186</v>
      </c>
      <c r="C32" s="346">
        <v>240</v>
      </c>
      <c r="D32" s="346">
        <v>240</v>
      </c>
      <c r="E32" s="346">
        <v>76</v>
      </c>
      <c r="F32" s="277"/>
      <c r="G32" s="346">
        <v>209</v>
      </c>
      <c r="H32" s="277">
        <v>209</v>
      </c>
      <c r="I32" s="346">
        <v>57</v>
      </c>
      <c r="J32" s="277"/>
      <c r="K32" s="304">
        <v>-0.12916666666666665</v>
      </c>
      <c r="L32" s="297"/>
    </row>
    <row r="33" spans="1:16" ht="14">
      <c r="A33" s="84"/>
      <c r="B33" s="277" t="s">
        <v>187</v>
      </c>
      <c r="C33" s="346">
        <v>190</v>
      </c>
      <c r="D33" s="346">
        <v>190</v>
      </c>
      <c r="E33" s="346">
        <v>70</v>
      </c>
      <c r="F33" s="277"/>
      <c r="G33" s="346">
        <v>206</v>
      </c>
      <c r="H33" s="277">
        <v>206</v>
      </c>
      <c r="I33" s="346">
        <v>35</v>
      </c>
      <c r="J33" s="277"/>
      <c r="K33" s="304">
        <v>8.4210526315789513E-2</v>
      </c>
      <c r="L33" s="297"/>
    </row>
    <row r="34" spans="1:16" ht="14">
      <c r="A34" s="84"/>
      <c r="B34" s="277" t="s">
        <v>188</v>
      </c>
      <c r="C34" s="346">
        <v>203</v>
      </c>
      <c r="D34" s="346">
        <v>203</v>
      </c>
      <c r="E34" s="346">
        <v>61</v>
      </c>
      <c r="F34" s="277"/>
      <c r="G34" s="346">
        <v>197</v>
      </c>
      <c r="H34" s="277">
        <v>197</v>
      </c>
      <c r="I34" s="346">
        <v>60</v>
      </c>
      <c r="J34" s="277"/>
      <c r="K34" s="304">
        <v>-2.9556650246305383E-2</v>
      </c>
      <c r="L34" s="297"/>
    </row>
    <row r="35" spans="1:16" ht="14">
      <c r="A35" s="84"/>
      <c r="B35" s="277" t="s">
        <v>189</v>
      </c>
      <c r="C35" s="346">
        <v>129</v>
      </c>
      <c r="D35" s="346">
        <v>129</v>
      </c>
      <c r="E35" s="346">
        <v>54</v>
      </c>
      <c r="F35" s="277"/>
      <c r="G35" s="346">
        <v>177</v>
      </c>
      <c r="H35" s="277">
        <v>177</v>
      </c>
      <c r="I35" s="346">
        <v>57</v>
      </c>
      <c r="J35" s="277"/>
      <c r="K35" s="304">
        <v>0.37209302325581395</v>
      </c>
      <c r="L35" s="297"/>
    </row>
    <row r="36" spans="1:16" ht="14">
      <c r="A36" s="84"/>
      <c r="B36" s="277" t="s">
        <v>190</v>
      </c>
      <c r="C36" s="346">
        <v>155</v>
      </c>
      <c r="D36" s="346">
        <v>155</v>
      </c>
      <c r="E36" s="346">
        <v>55</v>
      </c>
      <c r="F36" s="277"/>
      <c r="G36" s="346">
        <v>176</v>
      </c>
      <c r="H36" s="277">
        <v>176</v>
      </c>
      <c r="I36" s="346">
        <v>54</v>
      </c>
      <c r="J36" s="277"/>
      <c r="K36" s="304">
        <v>0.13548387096774195</v>
      </c>
      <c r="L36" s="297"/>
    </row>
    <row r="37" spans="1:16" ht="14">
      <c r="A37" s="84"/>
      <c r="B37" s="277" t="s">
        <v>191</v>
      </c>
      <c r="C37" s="346">
        <v>157</v>
      </c>
      <c r="D37" s="346">
        <v>157</v>
      </c>
      <c r="E37" s="346">
        <v>46</v>
      </c>
      <c r="F37" s="277"/>
      <c r="G37" s="346">
        <v>175</v>
      </c>
      <c r="H37" s="277">
        <v>175</v>
      </c>
      <c r="I37" s="346">
        <v>57</v>
      </c>
      <c r="J37" s="277"/>
      <c r="K37" s="304">
        <v>0.11464968152866239</v>
      </c>
      <c r="L37" s="297"/>
    </row>
    <row r="38" spans="1:16" ht="14">
      <c r="A38" s="84"/>
      <c r="B38" s="277" t="s">
        <v>192</v>
      </c>
      <c r="C38" s="346">
        <v>193</v>
      </c>
      <c r="D38" s="346">
        <v>193</v>
      </c>
      <c r="E38" s="346">
        <v>42</v>
      </c>
      <c r="F38" s="277"/>
      <c r="G38" s="346">
        <v>171</v>
      </c>
      <c r="H38" s="277">
        <v>171</v>
      </c>
      <c r="I38" s="346">
        <v>63</v>
      </c>
      <c r="J38" s="277"/>
      <c r="K38" s="304">
        <v>-0.11398963730569944</v>
      </c>
      <c r="L38" s="297"/>
      <c r="P38" s="309"/>
    </row>
    <row r="39" spans="1:16" ht="14">
      <c r="A39" s="84"/>
      <c r="B39" s="277" t="s">
        <v>193</v>
      </c>
      <c r="C39" s="346">
        <v>74</v>
      </c>
      <c r="D39" s="346">
        <v>74</v>
      </c>
      <c r="E39" s="346">
        <v>23</v>
      </c>
      <c r="F39" s="277"/>
      <c r="G39" s="346">
        <v>100</v>
      </c>
      <c r="H39" s="277">
        <v>100</v>
      </c>
      <c r="I39" s="346">
        <v>42</v>
      </c>
      <c r="J39" s="277"/>
      <c r="K39" s="304">
        <v>0.35135135135135132</v>
      </c>
      <c r="L39" s="297"/>
    </row>
    <row r="40" spans="1:16" ht="14">
      <c r="A40" s="84"/>
      <c r="B40" s="277" t="s">
        <v>194</v>
      </c>
      <c r="C40" s="346">
        <v>88</v>
      </c>
      <c r="D40" s="346">
        <v>88</v>
      </c>
      <c r="E40" s="346">
        <v>30</v>
      </c>
      <c r="F40" s="277"/>
      <c r="G40" s="346">
        <v>90</v>
      </c>
      <c r="H40" s="277">
        <v>90</v>
      </c>
      <c r="I40" s="346">
        <v>22</v>
      </c>
      <c r="J40" s="277"/>
      <c r="K40" s="304">
        <v>2.2727272727272707E-2</v>
      </c>
      <c r="L40" s="297"/>
    </row>
    <row r="41" spans="1:16" ht="6" customHeight="1">
      <c r="A41" s="84"/>
      <c r="B41" s="277"/>
      <c r="C41" s="277"/>
      <c r="D41" s="277"/>
      <c r="E41" s="277"/>
      <c r="F41" s="277"/>
      <c r="G41" s="277"/>
      <c r="H41" s="277"/>
      <c r="I41" s="277"/>
      <c r="J41" s="277"/>
      <c r="K41" s="304"/>
      <c r="L41" s="297"/>
    </row>
    <row r="42" spans="1:16" ht="14">
      <c r="A42" s="84"/>
      <c r="B42" s="298" t="s">
        <v>67</v>
      </c>
      <c r="C42" s="299">
        <v>10363</v>
      </c>
      <c r="D42" s="298"/>
      <c r="E42" s="299">
        <v>3100</v>
      </c>
      <c r="F42" s="298"/>
      <c r="G42" s="299">
        <v>11236</v>
      </c>
      <c r="H42" s="298"/>
      <c r="I42" s="299">
        <v>3290</v>
      </c>
      <c r="J42" s="298"/>
      <c r="K42" s="300">
        <v>8.4242014860561598E-2</v>
      </c>
      <c r="L42" s="297"/>
    </row>
    <row r="43" spans="1:16" ht="6" customHeight="1">
      <c r="A43" s="84"/>
      <c r="B43" s="296"/>
      <c r="C43" s="296"/>
      <c r="D43" s="296"/>
      <c r="E43" s="296"/>
      <c r="F43" s="296"/>
      <c r="G43" s="296"/>
      <c r="H43" s="296"/>
      <c r="I43" s="296"/>
      <c r="J43" s="296"/>
      <c r="K43" s="296"/>
      <c r="L43" s="84"/>
    </row>
    <row r="44" spans="1:16" ht="6" customHeight="1">
      <c r="A44" s="84"/>
      <c r="B44" s="84"/>
      <c r="C44" s="84"/>
      <c r="D44" s="84"/>
      <c r="E44" s="84"/>
      <c r="F44" s="84"/>
      <c r="G44" s="84"/>
      <c r="H44" s="84"/>
      <c r="I44" s="84"/>
      <c r="J44" s="84"/>
      <c r="K44" s="84"/>
      <c r="L44" s="84"/>
    </row>
    <row r="45" spans="1:16" ht="14">
      <c r="A45" s="84"/>
      <c r="B45" s="277" t="s">
        <v>34</v>
      </c>
      <c r="C45" s="305"/>
      <c r="D45" s="305"/>
      <c r="E45" s="305"/>
      <c r="F45" s="305"/>
      <c r="G45" s="305"/>
      <c r="H45" s="305"/>
      <c r="I45" s="305"/>
      <c r="J45" s="84"/>
      <c r="K45" s="84"/>
      <c r="L45" s="84"/>
    </row>
    <row r="46" spans="1:16" ht="13.5" customHeight="1">
      <c r="A46" s="84"/>
      <c r="B46" s="277" t="s">
        <v>195</v>
      </c>
      <c r="C46" s="277"/>
      <c r="D46" s="277"/>
      <c r="E46" s="277"/>
      <c r="F46" s="277"/>
      <c r="G46" s="277"/>
      <c r="H46" s="277"/>
      <c r="I46" s="277"/>
      <c r="J46" s="84"/>
      <c r="K46" s="84"/>
      <c r="L46" s="84"/>
    </row>
    <row r="47" spans="1:16" ht="6" customHeight="1">
      <c r="A47" s="84"/>
      <c r="B47" s="277"/>
      <c r="C47" s="277"/>
      <c r="D47" s="277"/>
      <c r="E47" s="277"/>
      <c r="F47" s="277"/>
      <c r="G47" s="277"/>
      <c r="H47" s="277"/>
      <c r="I47" s="277"/>
      <c r="J47" s="84"/>
      <c r="K47" s="84"/>
      <c r="L47" s="84"/>
    </row>
    <row r="48" spans="1:16" ht="14">
      <c r="A48" s="84"/>
      <c r="B48" s="277" t="s">
        <v>196</v>
      </c>
      <c r="C48" s="277"/>
      <c r="D48" s="277"/>
      <c r="E48" s="277"/>
      <c r="F48" s="277"/>
      <c r="G48" s="277"/>
      <c r="H48" s="277"/>
      <c r="I48" s="277"/>
      <c r="J48" s="84"/>
      <c r="K48" s="84"/>
      <c r="L48" s="84"/>
    </row>
    <row r="49" spans="1:12" ht="13.5" customHeight="1">
      <c r="A49" s="84"/>
      <c r="B49" s="360" t="s">
        <v>197</v>
      </c>
      <c r="C49" s="278"/>
      <c r="D49" s="278"/>
      <c r="E49" s="278"/>
      <c r="F49" s="278"/>
      <c r="G49" s="278"/>
      <c r="H49" s="278"/>
      <c r="I49" s="277"/>
      <c r="J49" s="84"/>
      <c r="K49" s="84"/>
      <c r="L49" s="84"/>
    </row>
    <row r="50" spans="1:12" ht="6" customHeight="1">
      <c r="A50" s="84"/>
      <c r="B50" s="384"/>
      <c r="C50" s="84"/>
      <c r="D50" s="84"/>
      <c r="E50" s="84"/>
      <c r="F50" s="84"/>
      <c r="G50" s="84"/>
      <c r="H50" s="84"/>
      <c r="I50" s="84"/>
      <c r="J50" s="84"/>
      <c r="K50" s="84"/>
      <c r="L50" s="84"/>
    </row>
    <row r="51" spans="1:12">
      <c r="B51" s="385"/>
    </row>
    <row r="52" spans="1:12">
      <c r="B52" s="385"/>
    </row>
    <row r="53" spans="1:12">
      <c r="B53" s="385"/>
    </row>
    <row r="54" spans="1:12">
      <c r="B54" s="385"/>
    </row>
  </sheetData>
  <mergeCells count="3">
    <mergeCell ref="K4:K7"/>
    <mergeCell ref="C5:E5"/>
    <mergeCell ref="G5:I5"/>
  </mergeCells>
  <conditionalFormatting sqref="D9:D40">
    <cfRule type="dataBar" priority="2">
      <dataBar showValue="0">
        <cfvo type="min"/>
        <cfvo type="max"/>
        <color theme="4"/>
      </dataBar>
      <extLst>
        <ext xmlns:x14="http://schemas.microsoft.com/office/spreadsheetml/2009/9/main" uri="{B025F937-C7B1-47D3-B67F-A62EFF666E3E}">
          <x14:id>{A3A51BBB-8687-4603-AB46-6043400FF47D}</x14:id>
        </ext>
      </extLst>
    </cfRule>
  </conditionalFormatting>
  <conditionalFormatting sqref="H9:H40">
    <cfRule type="dataBar" priority="1">
      <dataBar showValue="0">
        <cfvo type="min"/>
        <cfvo type="max"/>
        <color theme="4"/>
      </dataBar>
      <extLst>
        <ext xmlns:x14="http://schemas.microsoft.com/office/spreadsheetml/2009/9/main" uri="{B025F937-C7B1-47D3-B67F-A62EFF666E3E}">
          <x14:id>{403FBB8E-D720-489D-A37B-31FBA59B5271}</x14:id>
        </ext>
      </extLst>
    </cfRule>
  </conditionalFormatting>
  <hyperlinks>
    <hyperlink ref="B49" r:id="rId1" xr:uid="{6B3C3FA0-49DB-4108-AED9-7A004132778A}"/>
  </hyperlinks>
  <pageMargins left="0.7" right="0.7" top="0.75" bottom="0.75" header="0.3" footer="0.3"/>
  <pageSetup paperSize="9" orientation="portrait" verticalDpi="0" r:id="rId2"/>
  <extLst>
    <ext xmlns:x14="http://schemas.microsoft.com/office/spreadsheetml/2009/9/main" uri="{78C0D931-6437-407d-A8EE-F0AAD7539E65}">
      <x14:conditionalFormattings>
        <x14:conditionalFormatting xmlns:xm="http://schemas.microsoft.com/office/excel/2006/main">
          <x14:cfRule type="dataBar" id="{A3A51BBB-8687-4603-AB46-6043400FF47D}">
            <x14:dataBar minLength="0" maxLength="100" gradient="0">
              <x14:cfvo type="autoMin"/>
              <x14:cfvo type="autoMax"/>
              <x14:negativeFillColor rgb="FFFF0000"/>
              <x14:axisColor rgb="FF000000"/>
            </x14:dataBar>
          </x14:cfRule>
          <xm:sqref>D9:D40</xm:sqref>
        </x14:conditionalFormatting>
        <x14:conditionalFormatting xmlns:xm="http://schemas.microsoft.com/office/excel/2006/main">
          <x14:cfRule type="dataBar" id="{403FBB8E-D720-489D-A37B-31FBA59B5271}">
            <x14:dataBar minLength="0" maxLength="100" gradient="0">
              <x14:cfvo type="autoMin"/>
              <x14:cfvo type="autoMax"/>
              <x14:negativeFillColor rgb="FFFF0000"/>
              <x14:axisColor rgb="FF000000"/>
            </x14:dataBar>
          </x14:cfRule>
          <xm:sqref>H9:H40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N39"/>
  <sheetViews>
    <sheetView showGridLines="0" zoomScale="85" zoomScaleNormal="85"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9.1640625" defaultRowHeight="14"/>
  <cols>
    <col min="1" max="1" width="1.5" style="17" customWidth="1"/>
    <col min="2" max="2" width="7.6640625" style="17" customWidth="1"/>
    <col min="3" max="3" width="2.5" style="17" customWidth="1"/>
    <col min="4" max="5" width="11.5" style="17" customWidth="1"/>
    <col min="6" max="6" width="13.1640625" style="17" customWidth="1"/>
    <col min="7" max="7" width="1.6640625" style="17" customWidth="1"/>
    <col min="8" max="8" width="10.5" style="17" bestFit="1" customWidth="1"/>
    <col min="9" max="9" width="10.83203125" style="17" customWidth="1"/>
    <col min="10" max="10" width="9.5" style="17" bestFit="1" customWidth="1"/>
    <col min="11" max="11" width="10.5" style="17" bestFit="1" customWidth="1"/>
    <col min="12" max="12" width="1.6640625" style="17" customWidth="1"/>
    <col min="13" max="13" width="10.5" style="17" bestFit="1" customWidth="1"/>
    <col min="14" max="14" width="1.5" style="17" customWidth="1"/>
    <col min="15" max="16384" width="9.1640625" style="17"/>
  </cols>
  <sheetData>
    <row r="1" spans="1:14" ht="6" customHeight="1">
      <c r="A1" s="99"/>
      <c r="B1" s="100"/>
      <c r="C1" s="101"/>
      <c r="D1" s="99"/>
      <c r="E1" s="99"/>
      <c r="F1" s="99"/>
      <c r="G1" s="99"/>
      <c r="H1" s="99"/>
      <c r="I1" s="99"/>
      <c r="J1" s="99"/>
      <c r="K1" s="99"/>
      <c r="L1" s="99"/>
      <c r="M1" s="99"/>
      <c r="N1" s="99"/>
    </row>
    <row r="2" spans="1:14" ht="19.5" customHeight="1">
      <c r="A2" s="99"/>
      <c r="B2" s="56" t="s">
        <v>198</v>
      </c>
      <c r="C2" s="18"/>
      <c r="D2" s="16"/>
      <c r="E2" s="16"/>
      <c r="F2" s="16"/>
      <c r="G2" s="16"/>
      <c r="H2" s="16"/>
      <c r="I2" s="16"/>
      <c r="J2" s="16"/>
      <c r="K2" s="16"/>
      <c r="L2" s="16"/>
      <c r="M2" s="16"/>
      <c r="N2" s="99"/>
    </row>
    <row r="3" spans="1:14" ht="17.25" customHeight="1">
      <c r="A3" s="99"/>
      <c r="B3" s="106" t="s">
        <v>199</v>
      </c>
      <c r="C3" s="18"/>
      <c r="D3" s="16"/>
      <c r="E3" s="16"/>
      <c r="F3" s="16"/>
      <c r="G3" s="16"/>
      <c r="H3" s="16"/>
      <c r="I3" s="16"/>
      <c r="J3" s="16"/>
      <c r="K3" s="16"/>
      <c r="L3" s="16"/>
      <c r="M3" s="16"/>
      <c r="N3" s="99"/>
    </row>
    <row r="4" spans="1:14" ht="6" customHeight="1">
      <c r="A4" s="99"/>
      <c r="B4" s="106"/>
      <c r="C4" s="18"/>
      <c r="D4" s="16"/>
      <c r="E4" s="16"/>
      <c r="F4" s="16"/>
      <c r="G4" s="16"/>
      <c r="H4" s="16"/>
      <c r="I4" s="16"/>
      <c r="J4" s="16"/>
      <c r="K4" s="16"/>
      <c r="L4" s="16"/>
      <c r="M4" s="16"/>
      <c r="N4" s="99"/>
    </row>
    <row r="5" spans="1:14" ht="6" customHeight="1">
      <c r="A5" s="64"/>
      <c r="B5" s="402"/>
      <c r="C5" s="103"/>
      <c r="D5" s="104"/>
      <c r="E5" s="104"/>
      <c r="F5" s="104"/>
      <c r="G5" s="104"/>
      <c r="H5" s="104"/>
      <c r="I5" s="104"/>
      <c r="J5" s="104"/>
      <c r="K5" s="104"/>
      <c r="L5" s="104"/>
      <c r="M5" s="104"/>
      <c r="N5" s="64"/>
    </row>
    <row r="6" spans="1:14" ht="18" customHeight="1">
      <c r="A6" s="64"/>
      <c r="B6" s="102"/>
      <c r="C6" s="103"/>
      <c r="D6" s="728" t="s">
        <v>200</v>
      </c>
      <c r="E6" s="728"/>
      <c r="F6" s="728"/>
      <c r="G6" s="104"/>
      <c r="H6" s="728" t="s">
        <v>201</v>
      </c>
      <c r="I6" s="728"/>
      <c r="J6" s="728"/>
      <c r="K6" s="728"/>
      <c r="L6" s="104"/>
      <c r="M6" s="104"/>
      <c r="N6" s="64"/>
    </row>
    <row r="7" spans="1:14" ht="30" customHeight="1">
      <c r="A7" s="64"/>
      <c r="B7" s="105"/>
      <c r="C7" s="105"/>
      <c r="D7" s="53" t="s">
        <v>202</v>
      </c>
      <c r="E7" s="53" t="s">
        <v>203</v>
      </c>
      <c r="F7" s="53" t="s">
        <v>204</v>
      </c>
      <c r="G7" s="53"/>
      <c r="H7" s="53" t="s">
        <v>205</v>
      </c>
      <c r="I7" s="53" t="s">
        <v>206</v>
      </c>
      <c r="J7" s="53" t="s">
        <v>207</v>
      </c>
      <c r="K7" s="53" t="s">
        <v>208</v>
      </c>
      <c r="L7" s="105"/>
      <c r="M7" s="54" t="s">
        <v>209</v>
      </c>
      <c r="N7" s="64"/>
    </row>
    <row r="8" spans="1:14" ht="15.5" customHeight="1">
      <c r="A8" s="64"/>
      <c r="B8" s="45">
        <v>1995</v>
      </c>
      <c r="C8" s="45"/>
      <c r="D8" s="85">
        <v>7.0000000000000007E-2</v>
      </c>
      <c r="E8" s="85">
        <v>0.04</v>
      </c>
      <c r="F8" s="85">
        <v>7.0000000000000007E-2</v>
      </c>
      <c r="G8" s="85"/>
      <c r="H8" s="85">
        <v>0.25</v>
      </c>
      <c r="I8" s="85">
        <v>9.2152467082709993E-2</v>
      </c>
      <c r="J8" s="85">
        <v>0.28724418784470002</v>
      </c>
      <c r="K8" s="85">
        <v>5.4766189126059996E-2</v>
      </c>
      <c r="L8" s="85"/>
      <c r="M8" s="86">
        <v>0.08</v>
      </c>
      <c r="N8" s="64"/>
    </row>
    <row r="9" spans="1:14" ht="15.5" customHeight="1">
      <c r="A9" s="64"/>
      <c r="B9" s="45">
        <v>1997</v>
      </c>
      <c r="C9" s="45"/>
      <c r="D9" s="85">
        <v>0.04</v>
      </c>
      <c r="E9" s="85">
        <v>0.04</v>
      </c>
      <c r="F9" s="85">
        <v>0.03</v>
      </c>
      <c r="G9" s="85"/>
      <c r="H9" s="85">
        <v>0.14000000000000001</v>
      </c>
      <c r="I9" s="85">
        <v>4.5437532930800002E-2</v>
      </c>
      <c r="J9" s="85">
        <v>0.16600368632279999</v>
      </c>
      <c r="K9" s="85">
        <v>3.1247671173130001E-2</v>
      </c>
      <c r="L9" s="85"/>
      <c r="M9" s="86">
        <v>0.05</v>
      </c>
      <c r="N9" s="64"/>
    </row>
    <row r="10" spans="1:14" ht="15.5" customHeight="1">
      <c r="A10" s="64"/>
      <c r="B10" s="45">
        <v>1999</v>
      </c>
      <c r="C10" s="45"/>
      <c r="D10" s="85">
        <v>0.04</v>
      </c>
      <c r="E10" s="85">
        <v>0.03</v>
      </c>
      <c r="F10" s="85">
        <v>0.04</v>
      </c>
      <c r="G10" s="85"/>
      <c r="H10" s="85">
        <v>0.15</v>
      </c>
      <c r="I10" s="85">
        <v>9.3965303658879992E-2</v>
      </c>
      <c r="J10" s="85">
        <v>0.1762398385327</v>
      </c>
      <c r="K10" s="85">
        <v>2.297020738898E-2</v>
      </c>
      <c r="L10" s="85"/>
      <c r="M10" s="86">
        <v>0.05</v>
      </c>
      <c r="N10" s="64"/>
    </row>
    <row r="11" spans="1:14" ht="15.5" customHeight="1">
      <c r="A11" s="64"/>
      <c r="B11" s="45" t="s">
        <v>210</v>
      </c>
      <c r="C11" s="45"/>
      <c r="D11" s="85">
        <v>7.0000000000000007E-2</v>
      </c>
      <c r="E11" s="85">
        <v>0.05</v>
      </c>
      <c r="F11" s="85">
        <v>0.05</v>
      </c>
      <c r="G11" s="85"/>
      <c r="H11" s="85">
        <v>0.15</v>
      </c>
      <c r="I11" s="85">
        <v>9.8110062534210007E-2</v>
      </c>
      <c r="J11" s="85">
        <v>0.17850966264160001</v>
      </c>
      <c r="K11" s="85">
        <v>3.6526396759820001E-2</v>
      </c>
      <c r="L11" s="85"/>
      <c r="M11" s="86">
        <v>7.0000000000000007E-2</v>
      </c>
      <c r="N11" s="64"/>
    </row>
    <row r="12" spans="1:14" ht="15.5" customHeight="1">
      <c r="A12" s="64"/>
      <c r="B12" s="45" t="s">
        <v>211</v>
      </c>
      <c r="C12" s="45"/>
      <c r="D12" s="85">
        <v>0.05</v>
      </c>
      <c r="E12" s="85">
        <v>7.0000000000000007E-2</v>
      </c>
      <c r="F12" s="85">
        <v>0.08</v>
      </c>
      <c r="G12" s="85"/>
      <c r="H12" s="85">
        <v>0.15</v>
      </c>
      <c r="I12" s="85">
        <v>5.7279100286720001E-2</v>
      </c>
      <c r="J12" s="85">
        <v>0.19209014938009999</v>
      </c>
      <c r="K12" s="85">
        <v>7.5110697061879991E-2</v>
      </c>
      <c r="L12" s="85"/>
      <c r="M12" s="86">
        <v>0.08</v>
      </c>
      <c r="N12" s="64"/>
    </row>
    <row r="13" spans="1:14" ht="15.5" customHeight="1">
      <c r="A13" s="64"/>
      <c r="B13" s="45" t="s">
        <v>212</v>
      </c>
      <c r="C13" s="45"/>
      <c r="D13" s="85">
        <v>1.8992565847349999E-2</v>
      </c>
      <c r="E13" s="85">
        <v>3.070457394122E-2</v>
      </c>
      <c r="F13" s="85">
        <v>6.5889841818960002E-2</v>
      </c>
      <c r="G13" s="85"/>
      <c r="H13" s="85">
        <v>8.4037912972439996E-2</v>
      </c>
      <c r="I13" s="85">
        <v>4.4955670428529999E-2</v>
      </c>
      <c r="J13" s="85">
        <v>0.1049928191916</v>
      </c>
      <c r="K13" s="85">
        <v>4.2077919792299995E-2</v>
      </c>
      <c r="L13" s="85"/>
      <c r="M13" s="86">
        <v>4.8384875019470003E-2</v>
      </c>
      <c r="N13" s="64"/>
    </row>
    <row r="14" spans="1:14" ht="15.5" customHeight="1">
      <c r="A14" s="64"/>
      <c r="B14" s="45" t="s">
        <v>213</v>
      </c>
      <c r="C14" s="45"/>
      <c r="D14" s="85">
        <v>7.0000000000000007E-2</v>
      </c>
      <c r="E14" s="85">
        <v>0.04</v>
      </c>
      <c r="F14" s="85">
        <v>7.0000000000000007E-2</v>
      </c>
      <c r="G14" s="85"/>
      <c r="H14" s="85">
        <v>7.0000000000000007E-2</v>
      </c>
      <c r="I14" s="85">
        <v>0.05</v>
      </c>
      <c r="J14" s="85">
        <v>0.1</v>
      </c>
      <c r="K14" s="85">
        <v>0.06</v>
      </c>
      <c r="L14" s="85"/>
      <c r="M14" s="86">
        <v>5.9353374061506765E-2</v>
      </c>
      <c r="N14" s="64"/>
    </row>
    <row r="15" spans="1:14" ht="15.5" customHeight="1">
      <c r="A15" s="64"/>
      <c r="B15" s="45" t="s">
        <v>214</v>
      </c>
      <c r="C15" s="45"/>
      <c r="D15" s="85">
        <v>6.3592342231556201E-2</v>
      </c>
      <c r="E15" s="85">
        <v>6.1824877342070005E-2</v>
      </c>
      <c r="F15" s="85">
        <v>5.6547726006586266E-2</v>
      </c>
      <c r="G15" s="85"/>
      <c r="H15" s="85">
        <v>0.10720384301581762</v>
      </c>
      <c r="I15" s="85">
        <v>5.9313898500362942E-2</v>
      </c>
      <c r="J15" s="85">
        <v>0.13093914413695687</v>
      </c>
      <c r="K15" s="85">
        <v>6.0208552595869838E-2</v>
      </c>
      <c r="L15" s="85"/>
      <c r="M15" s="86">
        <v>6.695596612089344E-2</v>
      </c>
      <c r="N15" s="64"/>
    </row>
    <row r="16" spans="1:14" ht="15.5" customHeight="1">
      <c r="A16" s="64"/>
      <c r="B16" s="45" t="s">
        <v>215</v>
      </c>
      <c r="C16" s="87"/>
      <c r="D16" s="85">
        <v>4.5869720296348789E-2</v>
      </c>
      <c r="E16" s="85">
        <v>4.7037887323790918E-2</v>
      </c>
      <c r="F16" s="85">
        <v>6.925271758656866E-2</v>
      </c>
      <c r="G16" s="85"/>
      <c r="H16" s="85">
        <v>0.16458352556582259</v>
      </c>
      <c r="I16" s="85">
        <v>6.6236259410272821E-2</v>
      </c>
      <c r="J16" s="85">
        <v>0.20241291209503801</v>
      </c>
      <c r="K16" s="85">
        <v>8.9205021361411993E-2</v>
      </c>
      <c r="L16" s="85"/>
      <c r="M16" s="86">
        <v>7.3196781620107745E-2</v>
      </c>
      <c r="N16" s="64"/>
    </row>
    <row r="17" spans="1:14" ht="15.5" customHeight="1">
      <c r="A17" s="64"/>
      <c r="B17" s="45" t="s">
        <v>216</v>
      </c>
      <c r="C17" s="45"/>
      <c r="D17" s="85">
        <v>6.2785025808930001E-2</v>
      </c>
      <c r="E17" s="85">
        <v>3.5777582577479997E-2</v>
      </c>
      <c r="F17" s="85">
        <v>5.736291757215E-2</v>
      </c>
      <c r="G17" s="85"/>
      <c r="H17" s="85">
        <v>0.120187013493</v>
      </c>
      <c r="I17" s="85">
        <v>8.1363672537390005E-2</v>
      </c>
      <c r="J17" s="85">
        <v>0.15208973160639999</v>
      </c>
      <c r="K17" s="85">
        <v>6.5475281582559997E-2</v>
      </c>
      <c r="L17" s="85"/>
      <c r="M17" s="86">
        <v>6.3966546452029996E-2</v>
      </c>
      <c r="N17" s="64"/>
    </row>
    <row r="18" spans="1:14" ht="15.5" customHeight="1">
      <c r="A18" s="64"/>
      <c r="B18" s="45" t="s">
        <v>217</v>
      </c>
      <c r="C18" s="45"/>
      <c r="D18" s="85">
        <v>3.0842759917077172E-2</v>
      </c>
      <c r="E18" s="85">
        <v>5.9428405909047022E-2</v>
      </c>
      <c r="F18" s="85">
        <v>7.2008629939955715E-2</v>
      </c>
      <c r="G18" s="85"/>
      <c r="H18" s="85">
        <v>0.12188112416382925</v>
      </c>
      <c r="I18" s="85">
        <v>7.7739399991942792E-2</v>
      </c>
      <c r="J18" s="85">
        <v>0.16696412502249686</v>
      </c>
      <c r="K18" s="85">
        <v>0.10082916465311025</v>
      </c>
      <c r="L18" s="85"/>
      <c r="M18" s="86">
        <v>7.5270340399999996E-2</v>
      </c>
      <c r="N18" s="64"/>
    </row>
    <row r="19" spans="1:14" ht="15.5" customHeight="1">
      <c r="A19" s="64"/>
      <c r="B19" s="45" t="s">
        <v>50</v>
      </c>
      <c r="C19" s="45"/>
      <c r="D19" s="85">
        <v>3.9697273499999998E-2</v>
      </c>
      <c r="E19" s="85">
        <v>3.2469406700000002E-2</v>
      </c>
      <c r="F19" s="85">
        <v>3.0882858799999999E-2</v>
      </c>
      <c r="G19" s="85"/>
      <c r="H19" s="85">
        <v>0.1246942992</v>
      </c>
      <c r="I19" s="85">
        <v>3.0417718200000003E-2</v>
      </c>
      <c r="J19" s="85">
        <v>0.1488271089</v>
      </c>
      <c r="K19" s="85">
        <v>3.3485363957046071E-2</v>
      </c>
      <c r="L19" s="85"/>
      <c r="M19" s="86">
        <v>5.1104874699999997E-2</v>
      </c>
      <c r="N19" s="64"/>
    </row>
    <row r="20" spans="1:14" ht="15.5" customHeight="1">
      <c r="A20" s="64"/>
      <c r="B20" s="45" t="s">
        <v>15</v>
      </c>
      <c r="C20" s="45"/>
      <c r="D20" s="85">
        <v>3.5045138599999998E-2</v>
      </c>
      <c r="E20" s="85">
        <v>3.58585602E-2</v>
      </c>
      <c r="F20" s="85">
        <v>3.3057046300000004E-2</v>
      </c>
      <c r="G20" s="85"/>
      <c r="H20" s="85">
        <v>0.1886393136</v>
      </c>
      <c r="I20" s="85">
        <v>1.1315878600000001E-2</v>
      </c>
      <c r="J20" s="85">
        <v>0.24433265630000001</v>
      </c>
      <c r="K20" s="85">
        <v>8.4111917600000016E-2</v>
      </c>
      <c r="L20" s="85"/>
      <c r="M20" s="86">
        <v>5.7373741999999998E-2</v>
      </c>
      <c r="N20" s="64"/>
    </row>
    <row r="21" spans="1:14" ht="15.5" customHeight="1">
      <c r="A21" s="64"/>
      <c r="B21" s="45" t="s">
        <v>16</v>
      </c>
      <c r="C21" s="45"/>
      <c r="D21" s="85">
        <v>5.109235352386661E-2</v>
      </c>
      <c r="E21" s="85">
        <v>3.3236290009230611E-2</v>
      </c>
      <c r="F21" s="85">
        <v>6.0960884486831894E-2</v>
      </c>
      <c r="G21" s="85"/>
      <c r="H21" s="85">
        <v>0.14242936084002911</v>
      </c>
      <c r="I21" s="85">
        <v>3.4044414013504602E-2</v>
      </c>
      <c r="J21" s="85">
        <v>0.18668565360582565</v>
      </c>
      <c r="K21" s="85">
        <v>9.3945019681798247E-2</v>
      </c>
      <c r="L21" s="85"/>
      <c r="M21" s="86">
        <v>6.5136814164460238E-2</v>
      </c>
      <c r="N21" s="64"/>
    </row>
    <row r="22" spans="1:14" ht="15.5" customHeight="1">
      <c r="A22" s="64"/>
      <c r="B22" s="45" t="s">
        <v>18</v>
      </c>
      <c r="C22" s="45"/>
      <c r="D22" s="85">
        <v>3.6959681120237585E-2</v>
      </c>
      <c r="E22" s="85">
        <v>3.4771306245011825E-2</v>
      </c>
      <c r="F22" s="85">
        <v>0.10334930430508554</v>
      </c>
      <c r="G22" s="64"/>
      <c r="H22" s="47" t="s">
        <v>218</v>
      </c>
      <c r="I22" s="85">
        <v>2.6143560106286913E-2</v>
      </c>
      <c r="J22" s="47" t="s">
        <v>218</v>
      </c>
      <c r="K22" s="85">
        <v>0.11943368630933808</v>
      </c>
      <c r="L22" s="64"/>
      <c r="M22" s="86">
        <v>6.2333162942224997E-2</v>
      </c>
      <c r="N22" s="64"/>
    </row>
    <row r="23" spans="1:14" ht="15.5" customHeight="1" thickBot="1">
      <c r="A23" s="64"/>
      <c r="B23" s="88" t="s">
        <v>19</v>
      </c>
      <c r="C23" s="88"/>
      <c r="D23" s="89">
        <v>2.6207029139762229E-2</v>
      </c>
      <c r="E23" s="89">
        <v>7.7317172079073557E-2</v>
      </c>
      <c r="F23" s="89">
        <v>0.10313740837142603</v>
      </c>
      <c r="G23" s="90"/>
      <c r="H23" s="91" t="s">
        <v>218</v>
      </c>
      <c r="I23" s="89">
        <v>7.1916094985311041E-2</v>
      </c>
      <c r="J23" s="91" t="s">
        <v>218</v>
      </c>
      <c r="K23" s="89">
        <v>0.12180343084092465</v>
      </c>
      <c r="L23" s="90"/>
      <c r="M23" s="92">
        <v>7.4840815622557191E-2</v>
      </c>
      <c r="N23" s="64"/>
    </row>
    <row r="24" spans="1:14" ht="15.5" customHeight="1">
      <c r="A24" s="64"/>
      <c r="B24" s="93" t="s">
        <v>20</v>
      </c>
      <c r="C24" s="94">
        <v>3</v>
      </c>
      <c r="D24" s="95">
        <v>0.13201587639481399</v>
      </c>
      <c r="E24" s="95">
        <v>3.3412087905801635E-2</v>
      </c>
      <c r="F24" s="95">
        <v>4.3274918406117371E-2</v>
      </c>
      <c r="G24" s="96"/>
      <c r="H24" s="97" t="s">
        <v>218</v>
      </c>
      <c r="I24" s="95">
        <v>6.0374563383370349E-2</v>
      </c>
      <c r="J24" s="97" t="s">
        <v>218</v>
      </c>
      <c r="K24" s="95">
        <v>8.4308986696456159E-2</v>
      </c>
      <c r="L24" s="96"/>
      <c r="M24" s="98">
        <v>5.7499565951289335E-2</v>
      </c>
      <c r="N24" s="64"/>
    </row>
    <row r="25" spans="1:14" ht="15.5" customHeight="1">
      <c r="A25" s="64"/>
      <c r="B25" s="45" t="s">
        <v>21</v>
      </c>
      <c r="C25" s="87"/>
      <c r="D25" s="85">
        <v>6.3299999999999995E-2</v>
      </c>
      <c r="E25" s="85">
        <v>8.1099999999999992E-2</v>
      </c>
      <c r="F25" s="85">
        <v>3.7699999999999997E-2</v>
      </c>
      <c r="G25" s="64"/>
      <c r="H25" s="47" t="s">
        <v>218</v>
      </c>
      <c r="I25" s="85">
        <v>3.6400000000000002E-2</v>
      </c>
      <c r="J25" s="47" t="s">
        <v>218</v>
      </c>
      <c r="K25" s="85">
        <v>0.13339999999999999</v>
      </c>
      <c r="L25" s="64"/>
      <c r="M25" s="86">
        <v>6.9000000000000006E-2</v>
      </c>
      <c r="N25" s="64"/>
    </row>
    <row r="26" spans="1:14" ht="15.5" customHeight="1">
      <c r="A26" s="64"/>
      <c r="B26" s="45" t="s">
        <v>22</v>
      </c>
      <c r="C26" s="87"/>
      <c r="D26" s="85">
        <v>0.05</v>
      </c>
      <c r="E26" s="85">
        <v>0.09</v>
      </c>
      <c r="F26" s="85">
        <v>0.03</v>
      </c>
      <c r="G26" s="64"/>
      <c r="H26" s="47" t="s">
        <v>218</v>
      </c>
      <c r="I26" s="85">
        <v>0.06</v>
      </c>
      <c r="J26" s="47" t="s">
        <v>218</v>
      </c>
      <c r="K26" s="85">
        <v>0.1</v>
      </c>
      <c r="L26" s="64"/>
      <c r="M26" s="86">
        <v>0.06</v>
      </c>
      <c r="N26" s="64"/>
    </row>
    <row r="27" spans="1:14" ht="6" customHeight="1">
      <c r="A27" s="64"/>
      <c r="B27" s="105"/>
      <c r="C27" s="105"/>
      <c r="D27" s="105"/>
      <c r="E27" s="105"/>
      <c r="F27" s="105"/>
      <c r="G27" s="105"/>
      <c r="H27" s="105"/>
      <c r="I27" s="105"/>
      <c r="J27" s="105"/>
      <c r="K27" s="105"/>
      <c r="L27" s="105"/>
      <c r="M27" s="105"/>
      <c r="N27" s="64"/>
    </row>
    <row r="28" spans="1:14" ht="6" customHeight="1">
      <c r="A28" s="277"/>
      <c r="B28" s="273"/>
      <c r="C28" s="273"/>
      <c r="D28" s="306"/>
      <c r="E28" s="306"/>
      <c r="F28" s="306"/>
      <c r="G28" s="306"/>
      <c r="H28" s="306"/>
      <c r="I28" s="306"/>
      <c r="J28" s="306"/>
      <c r="K28" s="306"/>
      <c r="L28" s="306"/>
      <c r="M28" s="306"/>
      <c r="N28" s="277"/>
    </row>
    <row r="29" spans="1:14">
      <c r="A29" s="277"/>
      <c r="B29" s="273" t="s">
        <v>34</v>
      </c>
      <c r="C29" s="273"/>
      <c r="D29" s="306"/>
      <c r="E29" s="306"/>
      <c r="F29" s="306"/>
      <c r="G29" s="306"/>
      <c r="H29" s="306"/>
      <c r="I29" s="306"/>
      <c r="J29" s="306"/>
      <c r="K29" s="306"/>
      <c r="L29" s="306"/>
      <c r="M29" s="306"/>
      <c r="N29" s="277"/>
    </row>
    <row r="30" spans="1:14" ht="28.5" customHeight="1">
      <c r="A30" s="277"/>
      <c r="B30" s="720" t="s">
        <v>219</v>
      </c>
      <c r="C30" s="720"/>
      <c r="D30" s="720"/>
      <c r="E30" s="720"/>
      <c r="F30" s="720"/>
      <c r="G30" s="720"/>
      <c r="H30" s="720"/>
      <c r="I30" s="720"/>
      <c r="J30" s="720"/>
      <c r="K30" s="720"/>
      <c r="L30" s="720"/>
      <c r="M30" s="720"/>
      <c r="N30" s="277"/>
    </row>
    <row r="31" spans="1:14">
      <c r="A31" s="277"/>
      <c r="B31" s="277" t="s">
        <v>220</v>
      </c>
      <c r="C31" s="273"/>
      <c r="D31" s="306"/>
      <c r="E31" s="306"/>
      <c r="F31" s="306"/>
      <c r="G31" s="306"/>
      <c r="H31" s="306"/>
      <c r="I31" s="306"/>
      <c r="J31" s="306"/>
      <c r="K31" s="306"/>
      <c r="L31" s="306"/>
      <c r="M31" s="306"/>
      <c r="N31" s="277"/>
    </row>
    <row r="32" spans="1:14">
      <c r="A32" s="277"/>
      <c r="B32" s="277" t="s">
        <v>221</v>
      </c>
      <c r="C32" s="273"/>
      <c r="D32" s="306"/>
      <c r="E32" s="306"/>
      <c r="F32" s="306"/>
      <c r="G32" s="306"/>
      <c r="H32" s="306"/>
      <c r="I32" s="306"/>
      <c r="J32" s="306"/>
      <c r="K32" s="306"/>
      <c r="L32" s="306"/>
      <c r="M32" s="306"/>
      <c r="N32" s="277"/>
    </row>
    <row r="33" spans="1:14">
      <c r="A33" s="277"/>
      <c r="B33" s="277" t="s">
        <v>222</v>
      </c>
      <c r="C33" s="273"/>
      <c r="D33" s="306"/>
      <c r="E33" s="306"/>
      <c r="F33" s="306"/>
      <c r="G33" s="306"/>
      <c r="H33" s="306"/>
      <c r="I33" s="306"/>
      <c r="J33" s="306"/>
      <c r="K33" s="306"/>
      <c r="L33" s="306"/>
      <c r="M33" s="306"/>
      <c r="N33" s="277"/>
    </row>
    <row r="34" spans="1:14" ht="6" customHeight="1">
      <c r="A34" s="277"/>
      <c r="B34" s="277"/>
      <c r="C34" s="273"/>
      <c r="D34" s="306"/>
      <c r="E34" s="306"/>
      <c r="F34" s="306"/>
      <c r="G34" s="306"/>
      <c r="H34" s="306"/>
      <c r="I34" s="306"/>
      <c r="J34" s="306"/>
      <c r="K34" s="306"/>
      <c r="L34" s="306"/>
      <c r="M34" s="306"/>
      <c r="N34" s="277"/>
    </row>
    <row r="35" spans="1:14">
      <c r="A35" s="64"/>
      <c r="B35" s="67" t="s">
        <v>36</v>
      </c>
      <c r="C35" s="64"/>
      <c r="D35" s="64"/>
      <c r="E35" s="64"/>
      <c r="F35" s="64"/>
      <c r="G35" s="64"/>
      <c r="H35" s="64"/>
      <c r="I35" s="64"/>
      <c r="J35" s="64"/>
      <c r="K35" s="64"/>
      <c r="L35" s="64"/>
      <c r="M35" s="64"/>
      <c r="N35" s="64"/>
    </row>
    <row r="36" spans="1:14">
      <c r="A36" s="307"/>
      <c r="B36" s="360" t="s">
        <v>223</v>
      </c>
      <c r="C36" s="371"/>
      <c r="D36" s="307"/>
      <c r="E36" s="307"/>
      <c r="F36" s="307"/>
      <c r="G36" s="307"/>
      <c r="H36" s="307"/>
      <c r="I36" s="307"/>
      <c r="J36" s="307"/>
      <c r="K36" s="307"/>
      <c r="L36" s="64"/>
      <c r="M36" s="64"/>
      <c r="N36" s="64"/>
    </row>
    <row r="37" spans="1:14" ht="6" customHeight="1">
      <c r="A37" s="64"/>
      <c r="B37" s="371"/>
      <c r="C37" s="371"/>
      <c r="D37" s="64"/>
      <c r="E37" s="64"/>
      <c r="F37" s="64"/>
      <c r="G37" s="64"/>
      <c r="H37" s="64"/>
      <c r="I37" s="64"/>
      <c r="J37" s="64"/>
      <c r="K37" s="64"/>
      <c r="L37" s="64"/>
      <c r="M37" s="64"/>
      <c r="N37" s="64"/>
    </row>
    <row r="38" spans="1:14">
      <c r="B38" s="372"/>
      <c r="C38" s="372"/>
    </row>
    <row r="39" spans="1:14">
      <c r="B39" s="372"/>
      <c r="C39" s="372"/>
    </row>
  </sheetData>
  <mergeCells count="3">
    <mergeCell ref="H6:K6"/>
    <mergeCell ref="D6:F6"/>
    <mergeCell ref="B30:M30"/>
  </mergeCells>
  <phoneticPr fontId="135" type="noConversion"/>
  <hyperlinks>
    <hyperlink ref="B36" r:id="rId1" xr:uid="{9E565FAD-176D-427C-8518-E9A7BB9F948F}"/>
  </hyperlinks>
  <pageMargins left="0.75" right="0.75" top="1" bottom="1" header="0.5" footer="0.5"/>
  <pageSetup paperSize="9" orientation="portrait"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B239D-0751-455B-874D-5845BB7C2EEF}">
  <sheetPr>
    <tabColor rgb="FFFFFF00"/>
  </sheetPr>
  <dimension ref="A1:BO99"/>
  <sheetViews>
    <sheetView topLeftCell="A59" zoomScale="71" workbookViewId="0">
      <selection activeCell="S81" sqref="S81"/>
    </sheetView>
  </sheetViews>
  <sheetFormatPr baseColWidth="10" defaultColWidth="9.1640625" defaultRowHeight="13"/>
  <cols>
    <col min="1" max="1" width="1.5" style="117" customWidth="1"/>
    <col min="2" max="2" width="10" style="117" customWidth="1"/>
    <col min="3" max="3" width="11.6640625" style="117" customWidth="1"/>
    <col min="4" max="12" width="11.5" style="117" customWidth="1"/>
    <col min="13" max="13" width="1.5" style="117" customWidth="1"/>
    <col min="14" max="14" width="6.83203125" style="117" customWidth="1"/>
    <col min="15" max="18" width="9.1640625" style="117"/>
    <col min="19" max="19" width="9.1640625" style="117" customWidth="1"/>
    <col min="20" max="20" width="6.33203125" style="117" customWidth="1"/>
    <col min="21" max="16384" width="9.1640625" style="117"/>
  </cols>
  <sheetData>
    <row r="1" spans="1:67" ht="6" customHeight="1">
      <c r="A1" s="107"/>
      <c r="B1" s="107"/>
      <c r="C1" s="107"/>
      <c r="D1" s="107"/>
      <c r="E1" s="107"/>
      <c r="F1" s="107"/>
      <c r="G1" s="107"/>
      <c r="H1" s="107"/>
      <c r="I1" s="107"/>
      <c r="J1" s="107"/>
      <c r="K1" s="107"/>
      <c r="L1" s="107"/>
      <c r="M1" s="107"/>
    </row>
    <row r="2" spans="1:67" ht="18" customHeight="1">
      <c r="A2" s="107"/>
      <c r="B2" s="109" t="s">
        <v>224</v>
      </c>
      <c r="C2" s="108"/>
      <c r="D2" s="108"/>
      <c r="E2" s="108"/>
      <c r="F2" s="108"/>
      <c r="G2" s="108"/>
      <c r="H2" s="108"/>
      <c r="I2" s="108"/>
      <c r="J2" s="108"/>
      <c r="K2" s="108"/>
      <c r="L2" s="108"/>
      <c r="M2" s="107"/>
    </row>
    <row r="3" spans="1:67" ht="18" customHeight="1">
      <c r="A3" s="107"/>
      <c r="B3" s="729" t="s">
        <v>225</v>
      </c>
      <c r="C3" s="729"/>
      <c r="D3" s="729"/>
      <c r="E3" s="729"/>
      <c r="F3" s="729"/>
      <c r="G3" s="729"/>
      <c r="H3" s="729"/>
      <c r="I3" s="729"/>
      <c r="J3" s="729"/>
      <c r="K3" s="729"/>
      <c r="L3" s="729"/>
      <c r="M3" s="107"/>
    </row>
    <row r="4" spans="1:67" s="84" customFormat="1" ht="6" customHeight="1">
      <c r="A4" s="107"/>
      <c r="B4" s="308"/>
      <c r="C4" s="308"/>
      <c r="D4" s="308"/>
      <c r="E4" s="308"/>
      <c r="F4" s="308"/>
      <c r="G4" s="308"/>
      <c r="H4" s="308"/>
      <c r="I4" s="308"/>
      <c r="J4" s="308"/>
      <c r="K4" s="308"/>
      <c r="L4" s="308"/>
      <c r="M4" s="10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7"/>
    </row>
    <row r="5" spans="1:67" s="84" customFormat="1" ht="17.25" customHeight="1">
      <c r="B5" s="325"/>
      <c r="C5" s="325"/>
      <c r="D5" s="325"/>
      <c r="E5" s="325"/>
      <c r="F5" s="733" t="s">
        <v>226</v>
      </c>
      <c r="G5" s="733"/>
      <c r="H5" s="733"/>
      <c r="I5" s="733"/>
      <c r="J5" s="733"/>
      <c r="K5" s="733"/>
      <c r="L5" s="733"/>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c r="BN5" s="117"/>
      <c r="BO5" s="117"/>
    </row>
    <row r="6" spans="1:67" ht="45" customHeight="1">
      <c r="A6" s="84"/>
      <c r="B6" s="114"/>
      <c r="C6" s="323" t="s">
        <v>227</v>
      </c>
      <c r="D6" s="115" t="s">
        <v>228</v>
      </c>
      <c r="E6" s="115" t="s">
        <v>229</v>
      </c>
      <c r="F6" s="116" t="s">
        <v>230</v>
      </c>
      <c r="G6" s="116" t="s">
        <v>231</v>
      </c>
      <c r="H6" s="116" t="s">
        <v>232</v>
      </c>
      <c r="I6" s="116" t="s">
        <v>233</v>
      </c>
      <c r="J6" s="116" t="s">
        <v>234</v>
      </c>
      <c r="K6" s="116" t="s">
        <v>235</v>
      </c>
      <c r="L6" s="116" t="s">
        <v>236</v>
      </c>
      <c r="M6" s="84"/>
    </row>
    <row r="7" spans="1:67" ht="16.5" hidden="1" customHeight="1">
      <c r="A7" s="84"/>
      <c r="B7" s="123" t="s">
        <v>237</v>
      </c>
      <c r="C7" s="110">
        <v>6977</v>
      </c>
      <c r="D7" s="111">
        <v>1618</v>
      </c>
      <c r="E7" s="111">
        <v>5359</v>
      </c>
      <c r="F7" s="112">
        <v>2550</v>
      </c>
      <c r="G7" s="112">
        <v>421</v>
      </c>
      <c r="H7" s="112">
        <v>321</v>
      </c>
      <c r="I7" s="112">
        <v>1863</v>
      </c>
      <c r="J7" s="112">
        <v>519</v>
      </c>
      <c r="K7" s="112">
        <v>1089</v>
      </c>
      <c r="L7" s="112">
        <v>214</v>
      </c>
      <c r="M7" s="84"/>
    </row>
    <row r="8" spans="1:67" ht="19.5" hidden="1" customHeight="1">
      <c r="A8" s="84"/>
      <c r="B8" s="123" t="s">
        <v>238</v>
      </c>
      <c r="C8" s="113">
        <v>7109</v>
      </c>
      <c r="D8" s="111">
        <v>1635</v>
      </c>
      <c r="E8" s="111">
        <v>5474</v>
      </c>
      <c r="F8" s="111">
        <v>2459</v>
      </c>
      <c r="G8" s="111">
        <v>464</v>
      </c>
      <c r="H8" s="111">
        <v>328</v>
      </c>
      <c r="I8" s="111">
        <v>1987</v>
      </c>
      <c r="J8" s="111">
        <v>509</v>
      </c>
      <c r="K8" s="111">
        <v>1161</v>
      </c>
      <c r="L8" s="111">
        <v>201</v>
      </c>
      <c r="M8" s="84"/>
    </row>
    <row r="9" spans="1:67" ht="14" hidden="1">
      <c r="A9" s="84"/>
      <c r="B9" s="123" t="s">
        <v>239</v>
      </c>
      <c r="C9" s="113">
        <v>7105</v>
      </c>
      <c r="D9" s="111">
        <v>1740</v>
      </c>
      <c r="E9" s="111">
        <v>5365</v>
      </c>
      <c r="F9" s="111">
        <v>2413</v>
      </c>
      <c r="G9" s="111">
        <v>431</v>
      </c>
      <c r="H9" s="111">
        <v>270</v>
      </c>
      <c r="I9" s="111">
        <v>1976</v>
      </c>
      <c r="J9" s="111">
        <v>560</v>
      </c>
      <c r="K9" s="111">
        <v>1276</v>
      </c>
      <c r="L9" s="111">
        <v>179</v>
      </c>
      <c r="M9" s="84"/>
    </row>
    <row r="10" spans="1:67" ht="14" hidden="1">
      <c r="A10" s="84"/>
      <c r="B10" s="123" t="s">
        <v>240</v>
      </c>
      <c r="C10" s="113">
        <v>7284</v>
      </c>
      <c r="D10" s="111">
        <v>1753</v>
      </c>
      <c r="E10" s="111">
        <v>5531</v>
      </c>
      <c r="F10" s="111">
        <v>1947</v>
      </c>
      <c r="G10" s="111">
        <v>283</v>
      </c>
      <c r="H10" s="111">
        <v>264</v>
      </c>
      <c r="I10" s="111">
        <v>2116</v>
      </c>
      <c r="J10" s="111">
        <v>795</v>
      </c>
      <c r="K10" s="111">
        <v>1698</v>
      </c>
      <c r="L10" s="111">
        <v>181</v>
      </c>
      <c r="M10" s="84"/>
    </row>
    <row r="11" spans="1:67" ht="14" hidden="1">
      <c r="A11" s="84"/>
      <c r="B11" s="123" t="s">
        <v>241</v>
      </c>
      <c r="C11" s="113">
        <v>6897</v>
      </c>
      <c r="D11" s="111">
        <v>1532</v>
      </c>
      <c r="E11" s="111">
        <v>5365</v>
      </c>
      <c r="F11" s="111">
        <v>1701</v>
      </c>
      <c r="G11" s="111">
        <v>240</v>
      </c>
      <c r="H11" s="111">
        <v>298</v>
      </c>
      <c r="I11" s="111">
        <v>2030</v>
      </c>
      <c r="J11" s="111">
        <v>784</v>
      </c>
      <c r="K11" s="111">
        <v>1599</v>
      </c>
      <c r="L11" s="111">
        <v>245</v>
      </c>
      <c r="M11" s="84"/>
    </row>
    <row r="12" spans="1:67" ht="19.5" hidden="1" customHeight="1">
      <c r="A12" s="84"/>
      <c r="B12" s="123" t="s">
        <v>242</v>
      </c>
      <c r="C12" s="110">
        <v>6726</v>
      </c>
      <c r="D12" s="111">
        <v>1422</v>
      </c>
      <c r="E12" s="111">
        <v>5304</v>
      </c>
      <c r="F12" s="112">
        <v>1599</v>
      </c>
      <c r="G12" s="112">
        <v>268</v>
      </c>
      <c r="H12" s="112">
        <v>269</v>
      </c>
      <c r="I12" s="112">
        <v>2034</v>
      </c>
      <c r="J12" s="112">
        <v>807</v>
      </c>
      <c r="K12" s="112">
        <v>1536</v>
      </c>
      <c r="L12" s="112">
        <v>213</v>
      </c>
      <c r="M12" s="84"/>
    </row>
    <row r="13" spans="1:67" ht="14" hidden="1">
      <c r="A13" s="84"/>
      <c r="B13" s="123" t="s">
        <v>243</v>
      </c>
      <c r="C13" s="110">
        <v>6309</v>
      </c>
      <c r="D13" s="111">
        <v>1354</v>
      </c>
      <c r="E13" s="111">
        <v>4955</v>
      </c>
      <c r="F13" s="112">
        <v>1529</v>
      </c>
      <c r="G13" s="112">
        <v>239</v>
      </c>
      <c r="H13" s="112">
        <v>230</v>
      </c>
      <c r="I13" s="112">
        <v>1908</v>
      </c>
      <c r="J13" s="112">
        <v>813</v>
      </c>
      <c r="K13" s="112">
        <v>1377</v>
      </c>
      <c r="L13" s="112">
        <v>213</v>
      </c>
      <c r="M13" s="84"/>
    </row>
    <row r="14" spans="1:67" ht="14" hidden="1">
      <c r="A14" s="84"/>
      <c r="B14" s="123" t="s">
        <v>244</v>
      </c>
      <c r="C14" s="110">
        <v>6426</v>
      </c>
      <c r="D14" s="111">
        <v>1249</v>
      </c>
      <c r="E14" s="111">
        <v>5177</v>
      </c>
      <c r="F14" s="112">
        <v>1522</v>
      </c>
      <c r="G14" s="112">
        <v>248</v>
      </c>
      <c r="H14" s="112">
        <v>230</v>
      </c>
      <c r="I14" s="112">
        <v>1902</v>
      </c>
      <c r="J14" s="112">
        <v>867</v>
      </c>
      <c r="K14" s="112">
        <v>1424</v>
      </c>
      <c r="L14" s="112">
        <v>233</v>
      </c>
      <c r="M14" s="84"/>
    </row>
    <row r="15" spans="1:67" ht="14" hidden="1">
      <c r="A15" s="84"/>
      <c r="B15" s="123" t="s">
        <v>245</v>
      </c>
      <c r="C15" s="110">
        <v>5638</v>
      </c>
      <c r="D15" s="111">
        <v>1023</v>
      </c>
      <c r="E15" s="111">
        <v>4615</v>
      </c>
      <c r="F15" s="112">
        <v>1166</v>
      </c>
      <c r="G15" s="112">
        <v>207</v>
      </c>
      <c r="H15" s="112">
        <v>222</v>
      </c>
      <c r="I15" s="112">
        <v>1616</v>
      </c>
      <c r="J15" s="112">
        <v>799</v>
      </c>
      <c r="K15" s="112">
        <v>1394</v>
      </c>
      <c r="L15" s="112">
        <v>234</v>
      </c>
      <c r="M15" s="84"/>
    </row>
    <row r="16" spans="1:67" ht="6" customHeight="1">
      <c r="A16" s="84"/>
      <c r="B16" s="123"/>
      <c r="C16" s="110"/>
      <c r="D16" s="111"/>
      <c r="E16" s="111"/>
      <c r="F16" s="112"/>
      <c r="G16" s="112"/>
      <c r="H16" s="112"/>
      <c r="I16" s="112"/>
      <c r="J16" s="112"/>
      <c r="K16" s="112"/>
      <c r="L16" s="112"/>
      <c r="M16" s="84"/>
    </row>
    <row r="17" spans="1:22" ht="14.25" customHeight="1">
      <c r="A17" s="84"/>
      <c r="B17" s="123" t="s">
        <v>246</v>
      </c>
      <c r="C17" s="299">
        <v>5291</v>
      </c>
      <c r="D17" s="320">
        <v>1001</v>
      </c>
      <c r="E17" s="320">
        <v>4290</v>
      </c>
      <c r="F17" s="320">
        <v>1097</v>
      </c>
      <c r="G17" s="320">
        <v>221</v>
      </c>
      <c r="H17" s="320">
        <v>222</v>
      </c>
      <c r="I17" s="320">
        <v>1641</v>
      </c>
      <c r="J17" s="320">
        <v>698</v>
      </c>
      <c r="K17" s="320">
        <v>1227</v>
      </c>
      <c r="L17" s="320">
        <v>185</v>
      </c>
      <c r="M17" s="84"/>
      <c r="S17" s="311"/>
    </row>
    <row r="18" spans="1:22" ht="14.25" customHeight="1">
      <c r="A18" s="84"/>
      <c r="B18" s="123" t="s">
        <v>247</v>
      </c>
      <c r="C18" s="299">
        <v>5335</v>
      </c>
      <c r="D18" s="320">
        <v>1132</v>
      </c>
      <c r="E18" s="320">
        <v>4203</v>
      </c>
      <c r="F18" s="320">
        <v>1212</v>
      </c>
      <c r="G18" s="320">
        <v>235</v>
      </c>
      <c r="H18" s="320">
        <v>206</v>
      </c>
      <c r="I18" s="320">
        <v>1644</v>
      </c>
      <c r="J18" s="320">
        <v>661</v>
      </c>
      <c r="K18" s="320">
        <v>1159</v>
      </c>
      <c r="L18" s="320">
        <v>218</v>
      </c>
      <c r="M18" s="84"/>
    </row>
    <row r="19" spans="1:22" ht="14.25" customHeight="1">
      <c r="A19" s="84"/>
      <c r="B19" s="123" t="s">
        <v>248</v>
      </c>
      <c r="C19" s="299">
        <v>5588</v>
      </c>
      <c r="D19" s="320">
        <v>1063</v>
      </c>
      <c r="E19" s="320">
        <v>4525</v>
      </c>
      <c r="F19" s="320">
        <v>1205</v>
      </c>
      <c r="G19" s="320">
        <v>234</v>
      </c>
      <c r="H19" s="320">
        <v>226</v>
      </c>
      <c r="I19" s="320">
        <v>1788</v>
      </c>
      <c r="J19" s="320">
        <v>645</v>
      </c>
      <c r="K19" s="320">
        <v>1294</v>
      </c>
      <c r="L19" s="320">
        <v>196</v>
      </c>
      <c r="M19" s="84"/>
    </row>
    <row r="20" spans="1:22" ht="14.25" customHeight="1">
      <c r="A20" s="84"/>
      <c r="B20" s="123" t="s">
        <v>249</v>
      </c>
      <c r="C20" s="299">
        <v>5110</v>
      </c>
      <c r="D20" s="320">
        <v>913</v>
      </c>
      <c r="E20" s="320">
        <v>4196</v>
      </c>
      <c r="F20" s="320">
        <v>1036</v>
      </c>
      <c r="G20" s="320">
        <v>203</v>
      </c>
      <c r="H20" s="320">
        <v>241</v>
      </c>
      <c r="I20" s="320">
        <v>1578</v>
      </c>
      <c r="J20" s="320">
        <v>627</v>
      </c>
      <c r="K20" s="320">
        <v>1202</v>
      </c>
      <c r="L20" s="320">
        <v>223</v>
      </c>
      <c r="M20" s="84"/>
    </row>
    <row r="21" spans="1:22" ht="6" customHeight="1">
      <c r="A21" s="84"/>
      <c r="B21" s="123"/>
      <c r="C21" s="299"/>
      <c r="D21" s="320"/>
      <c r="E21" s="320"/>
      <c r="F21" s="320"/>
      <c r="G21" s="320"/>
      <c r="H21" s="320"/>
      <c r="I21" s="320"/>
      <c r="J21" s="320"/>
      <c r="K21" s="320"/>
      <c r="L21" s="320"/>
      <c r="M21" s="84"/>
    </row>
    <row r="22" spans="1:22" ht="14.25" customHeight="1">
      <c r="A22" s="84"/>
      <c r="B22" s="123" t="s">
        <v>250</v>
      </c>
      <c r="C22" s="299">
        <v>5239</v>
      </c>
      <c r="D22" s="320">
        <v>993</v>
      </c>
      <c r="E22" s="320">
        <v>4241</v>
      </c>
      <c r="F22" s="320">
        <v>1092</v>
      </c>
      <c r="G22" s="320">
        <v>217</v>
      </c>
      <c r="H22" s="320">
        <v>215</v>
      </c>
      <c r="I22" s="320">
        <v>1636</v>
      </c>
      <c r="J22" s="320">
        <v>594</v>
      </c>
      <c r="K22" s="320">
        <v>1274</v>
      </c>
      <c r="L22" s="320">
        <v>211</v>
      </c>
      <c r="M22" s="84"/>
      <c r="P22" s="314"/>
    </row>
    <row r="23" spans="1:22" ht="14.25" customHeight="1">
      <c r="A23" s="84"/>
      <c r="B23" s="123" t="s">
        <v>251</v>
      </c>
      <c r="C23" s="299">
        <v>5146</v>
      </c>
      <c r="D23" s="320">
        <v>979</v>
      </c>
      <c r="E23" s="320">
        <v>4166</v>
      </c>
      <c r="F23" s="320">
        <v>1156</v>
      </c>
      <c r="G23" s="320">
        <v>184</v>
      </c>
      <c r="H23" s="320">
        <v>227</v>
      </c>
      <c r="I23" s="320">
        <v>1551</v>
      </c>
      <c r="J23" s="320">
        <v>566</v>
      </c>
      <c r="K23" s="320">
        <v>1275</v>
      </c>
      <c r="L23" s="320">
        <v>187</v>
      </c>
      <c r="M23" s="84"/>
      <c r="N23" s="314"/>
      <c r="P23" s="314"/>
    </row>
    <row r="24" spans="1:22" ht="14.25" customHeight="1">
      <c r="A24" s="84"/>
      <c r="B24" s="123" t="s">
        <v>252</v>
      </c>
      <c r="C24" s="299">
        <v>5439</v>
      </c>
      <c r="D24" s="320">
        <v>918</v>
      </c>
      <c r="E24" s="320">
        <v>4520</v>
      </c>
      <c r="F24" s="320">
        <v>1048</v>
      </c>
      <c r="G24" s="320">
        <v>212</v>
      </c>
      <c r="H24" s="320">
        <v>245</v>
      </c>
      <c r="I24" s="320">
        <v>1653</v>
      </c>
      <c r="J24" s="320">
        <v>674</v>
      </c>
      <c r="K24" s="320">
        <v>1404</v>
      </c>
      <c r="L24" s="320">
        <v>203</v>
      </c>
      <c r="M24" s="84"/>
      <c r="N24" s="314"/>
      <c r="P24" s="314"/>
    </row>
    <row r="25" spans="1:22" ht="14.25" customHeight="1">
      <c r="A25" s="84"/>
      <c r="B25" s="123" t="s">
        <v>253</v>
      </c>
      <c r="C25" s="299">
        <v>4768</v>
      </c>
      <c r="D25" s="320">
        <v>846</v>
      </c>
      <c r="E25" s="320">
        <v>3920</v>
      </c>
      <c r="F25" s="320">
        <v>861</v>
      </c>
      <c r="G25" s="320">
        <v>158</v>
      </c>
      <c r="H25" s="320">
        <v>197</v>
      </c>
      <c r="I25" s="320">
        <v>1381</v>
      </c>
      <c r="J25" s="320">
        <v>576</v>
      </c>
      <c r="K25" s="320">
        <v>1391</v>
      </c>
      <c r="L25" s="320">
        <v>204</v>
      </c>
      <c r="M25" s="84"/>
      <c r="N25" s="314"/>
      <c r="P25" s="314"/>
      <c r="V25" s="311"/>
    </row>
    <row r="26" spans="1:22" ht="6" customHeight="1">
      <c r="A26" s="84"/>
      <c r="B26" s="123"/>
      <c r="C26" s="299"/>
      <c r="D26" s="320"/>
      <c r="E26" s="320"/>
      <c r="F26" s="320"/>
      <c r="G26" s="320"/>
      <c r="H26" s="320"/>
      <c r="I26" s="320"/>
      <c r="J26" s="320"/>
      <c r="K26" s="320"/>
      <c r="L26" s="320"/>
      <c r="M26" s="84"/>
      <c r="N26" s="314"/>
      <c r="P26" s="314"/>
      <c r="V26" s="311"/>
    </row>
    <row r="27" spans="1:22" ht="14.25" customHeight="1">
      <c r="A27" s="84"/>
      <c r="B27" s="123" t="s">
        <v>254</v>
      </c>
      <c r="C27" s="299">
        <v>4806</v>
      </c>
      <c r="D27" s="320">
        <v>843</v>
      </c>
      <c r="E27" s="320">
        <v>3963</v>
      </c>
      <c r="F27" s="320">
        <v>919</v>
      </c>
      <c r="G27" s="320">
        <v>171</v>
      </c>
      <c r="H27" s="320">
        <v>205</v>
      </c>
      <c r="I27" s="320">
        <v>1404</v>
      </c>
      <c r="J27" s="320">
        <v>617</v>
      </c>
      <c r="K27" s="320">
        <v>1297</v>
      </c>
      <c r="L27" s="320">
        <v>193</v>
      </c>
      <c r="M27" s="84"/>
    </row>
    <row r="28" spans="1:22" ht="14.25" customHeight="1">
      <c r="A28" s="84"/>
      <c r="B28" s="123" t="s">
        <v>255</v>
      </c>
      <c r="C28" s="299">
        <v>4270</v>
      </c>
      <c r="D28" s="320">
        <v>734</v>
      </c>
      <c r="E28" s="320">
        <v>3535</v>
      </c>
      <c r="F28" s="320">
        <v>914</v>
      </c>
      <c r="G28" s="320">
        <v>135</v>
      </c>
      <c r="H28" s="320">
        <v>189</v>
      </c>
      <c r="I28" s="320">
        <v>1164</v>
      </c>
      <c r="J28" s="320">
        <v>522</v>
      </c>
      <c r="K28" s="320">
        <v>1175</v>
      </c>
      <c r="L28" s="320">
        <v>171</v>
      </c>
      <c r="M28" s="84"/>
    </row>
    <row r="29" spans="1:22" ht="14.25" customHeight="1">
      <c r="A29" s="84"/>
      <c r="B29" s="123" t="s">
        <v>256</v>
      </c>
      <c r="C29" s="299">
        <v>4452</v>
      </c>
      <c r="D29" s="320">
        <v>700</v>
      </c>
      <c r="E29" s="320">
        <v>3752</v>
      </c>
      <c r="F29" s="320">
        <v>865</v>
      </c>
      <c r="G29" s="320">
        <v>174</v>
      </c>
      <c r="H29" s="320">
        <v>190</v>
      </c>
      <c r="I29" s="320">
        <v>1206</v>
      </c>
      <c r="J29" s="320">
        <v>571</v>
      </c>
      <c r="K29" s="320">
        <v>1244</v>
      </c>
      <c r="L29" s="320">
        <v>201</v>
      </c>
      <c r="M29" s="84"/>
    </row>
    <row r="30" spans="1:22" ht="14.25" customHeight="1">
      <c r="A30" s="84"/>
      <c r="B30" s="123" t="s">
        <v>257</v>
      </c>
      <c r="C30" s="299">
        <v>3976</v>
      </c>
      <c r="D30" s="320">
        <v>666</v>
      </c>
      <c r="E30" s="320">
        <v>3309</v>
      </c>
      <c r="F30" s="320">
        <v>771</v>
      </c>
      <c r="G30" s="320">
        <v>115</v>
      </c>
      <c r="H30" s="320">
        <v>151</v>
      </c>
      <c r="I30" s="320">
        <v>1113</v>
      </c>
      <c r="J30" s="320">
        <v>541</v>
      </c>
      <c r="K30" s="320">
        <v>1119</v>
      </c>
      <c r="L30" s="320">
        <v>166</v>
      </c>
      <c r="M30" s="84"/>
    </row>
    <row r="31" spans="1:22" ht="6" customHeight="1">
      <c r="A31" s="84"/>
      <c r="B31" s="123"/>
      <c r="C31" s="299"/>
      <c r="D31" s="320"/>
      <c r="E31" s="320"/>
      <c r="F31" s="320"/>
      <c r="G31" s="320"/>
      <c r="H31" s="320"/>
      <c r="I31" s="320"/>
      <c r="J31" s="320"/>
      <c r="K31" s="320"/>
      <c r="L31" s="320"/>
      <c r="M31" s="84"/>
    </row>
    <row r="32" spans="1:22" ht="14.25" customHeight="1">
      <c r="A32" s="84"/>
      <c r="B32" s="123" t="s">
        <v>258</v>
      </c>
      <c r="C32" s="299">
        <v>3830</v>
      </c>
      <c r="D32" s="320">
        <v>627</v>
      </c>
      <c r="E32" s="320">
        <v>3184</v>
      </c>
      <c r="F32" s="320">
        <v>688</v>
      </c>
      <c r="G32" s="320">
        <v>138</v>
      </c>
      <c r="H32" s="320">
        <v>177</v>
      </c>
      <c r="I32" s="320">
        <v>1028</v>
      </c>
      <c r="J32" s="320">
        <v>579</v>
      </c>
      <c r="K32" s="320">
        <v>1073</v>
      </c>
      <c r="L32" s="320">
        <v>147</v>
      </c>
      <c r="M32" s="84"/>
    </row>
    <row r="33" spans="1:20" ht="14.25" customHeight="1">
      <c r="A33" s="84"/>
      <c r="B33" s="123" t="s">
        <v>259</v>
      </c>
      <c r="C33" s="299">
        <v>4060</v>
      </c>
      <c r="D33" s="320">
        <v>647</v>
      </c>
      <c r="E33" s="320">
        <v>3368</v>
      </c>
      <c r="F33" s="320">
        <v>700</v>
      </c>
      <c r="G33" s="320">
        <v>116</v>
      </c>
      <c r="H33" s="320">
        <v>189</v>
      </c>
      <c r="I33" s="320">
        <v>1121</v>
      </c>
      <c r="J33" s="320">
        <v>621</v>
      </c>
      <c r="K33" s="320">
        <v>1136</v>
      </c>
      <c r="L33" s="320">
        <v>177</v>
      </c>
      <c r="M33" s="84"/>
    </row>
    <row r="34" spans="1:20" ht="14.25" customHeight="1">
      <c r="A34" s="84"/>
      <c r="B34" s="123" t="s">
        <v>260</v>
      </c>
      <c r="C34" s="299">
        <v>4369</v>
      </c>
      <c r="D34" s="320">
        <v>664</v>
      </c>
      <c r="E34" s="320">
        <v>3646</v>
      </c>
      <c r="F34" s="320">
        <v>774</v>
      </c>
      <c r="G34" s="320">
        <v>153</v>
      </c>
      <c r="H34" s="320">
        <v>191</v>
      </c>
      <c r="I34" s="320">
        <v>1146</v>
      </c>
      <c r="J34" s="320">
        <v>663</v>
      </c>
      <c r="K34" s="320">
        <v>1260</v>
      </c>
      <c r="L34" s="320">
        <v>182</v>
      </c>
      <c r="M34" s="84"/>
    </row>
    <row r="35" spans="1:20" ht="14.5" customHeight="1">
      <c r="A35" s="84"/>
      <c r="B35" s="179" t="s">
        <v>261</v>
      </c>
      <c r="C35" s="299">
        <v>4002</v>
      </c>
      <c r="D35" s="320">
        <v>644</v>
      </c>
      <c r="E35" s="320">
        <v>3288</v>
      </c>
      <c r="F35" s="320">
        <v>592</v>
      </c>
      <c r="G35" s="320">
        <v>130</v>
      </c>
      <c r="H35" s="320">
        <v>202</v>
      </c>
      <c r="I35" s="320">
        <v>1103</v>
      </c>
      <c r="J35" s="320">
        <v>635</v>
      </c>
      <c r="K35" s="320">
        <v>1146</v>
      </c>
      <c r="L35" s="320">
        <v>194</v>
      </c>
      <c r="M35" s="84"/>
    </row>
    <row r="36" spans="1:20" ht="6" customHeight="1">
      <c r="A36" s="84"/>
      <c r="B36" s="179"/>
      <c r="C36" s="299"/>
      <c r="D36" s="320"/>
      <c r="E36" s="320"/>
      <c r="F36" s="320"/>
      <c r="G36" s="320"/>
      <c r="H36" s="320"/>
      <c r="I36" s="320"/>
      <c r="J36" s="320"/>
      <c r="K36" s="320"/>
      <c r="L36" s="320"/>
      <c r="M36" s="84"/>
    </row>
    <row r="37" spans="1:20" ht="14.5" customHeight="1">
      <c r="A37" s="84"/>
      <c r="B37" s="179" t="s">
        <v>262</v>
      </c>
      <c r="C37" s="299">
        <v>4000</v>
      </c>
      <c r="D37" s="320">
        <v>650</v>
      </c>
      <c r="E37" s="320">
        <v>3267</v>
      </c>
      <c r="F37" s="320">
        <v>559</v>
      </c>
      <c r="G37" s="320">
        <v>156</v>
      </c>
      <c r="H37" s="320">
        <v>163</v>
      </c>
      <c r="I37" s="320">
        <v>1152</v>
      </c>
      <c r="J37" s="320">
        <v>636</v>
      </c>
      <c r="K37" s="320">
        <v>1176</v>
      </c>
      <c r="L37" s="320">
        <v>158</v>
      </c>
      <c r="M37" s="84"/>
    </row>
    <row r="38" spans="1:20" ht="14">
      <c r="A38" s="84"/>
      <c r="B38" s="179" t="s">
        <v>263</v>
      </c>
      <c r="C38" s="299">
        <v>3974</v>
      </c>
      <c r="D38" s="320">
        <v>701</v>
      </c>
      <c r="E38" s="320">
        <v>3165</v>
      </c>
      <c r="F38" s="320">
        <v>628</v>
      </c>
      <c r="G38" s="320">
        <v>124</v>
      </c>
      <c r="H38" s="320">
        <v>202</v>
      </c>
      <c r="I38" s="320">
        <v>1042</v>
      </c>
      <c r="J38" s="320">
        <v>613</v>
      </c>
      <c r="K38" s="320">
        <v>1196</v>
      </c>
      <c r="L38" s="320">
        <v>169</v>
      </c>
      <c r="M38" s="84"/>
    </row>
    <row r="39" spans="1:20" ht="14">
      <c r="A39" s="84"/>
      <c r="B39" s="179" t="s">
        <v>264</v>
      </c>
      <c r="C39" s="299">
        <v>4247</v>
      </c>
      <c r="D39" s="320">
        <v>750</v>
      </c>
      <c r="E39" s="320">
        <v>3383</v>
      </c>
      <c r="F39" s="320">
        <v>635</v>
      </c>
      <c r="G39" s="320">
        <v>131</v>
      </c>
      <c r="H39" s="320">
        <v>191</v>
      </c>
      <c r="I39" s="320">
        <v>1121</v>
      </c>
      <c r="J39" s="320">
        <v>702</v>
      </c>
      <c r="K39" s="320">
        <v>1277</v>
      </c>
      <c r="L39" s="320">
        <v>190</v>
      </c>
      <c r="M39" s="84"/>
    </row>
    <row r="40" spans="1:20" ht="14">
      <c r="A40" s="84"/>
      <c r="B40" s="179" t="s">
        <v>265</v>
      </c>
      <c r="C40" s="299">
        <v>4089</v>
      </c>
      <c r="D40" s="320">
        <v>739</v>
      </c>
      <c r="E40" s="320">
        <v>3223</v>
      </c>
      <c r="F40" s="320">
        <v>621</v>
      </c>
      <c r="G40" s="320">
        <v>107</v>
      </c>
      <c r="H40" s="320">
        <v>197</v>
      </c>
      <c r="I40" s="320">
        <v>1082</v>
      </c>
      <c r="J40" s="320">
        <v>743</v>
      </c>
      <c r="K40" s="320">
        <v>1174</v>
      </c>
      <c r="L40" s="320">
        <v>165</v>
      </c>
      <c r="M40" s="84"/>
    </row>
    <row r="41" spans="1:20" ht="6" customHeight="1">
      <c r="A41" s="84"/>
      <c r="B41" s="179"/>
      <c r="C41" s="299"/>
      <c r="D41" s="320"/>
      <c r="E41" s="320"/>
      <c r="F41" s="320"/>
      <c r="G41" s="320"/>
      <c r="H41" s="320"/>
      <c r="I41" s="320"/>
      <c r="J41" s="320"/>
      <c r="K41" s="320"/>
      <c r="L41" s="320"/>
      <c r="M41" s="84"/>
    </row>
    <row r="42" spans="1:20" ht="14.25" customHeight="1">
      <c r="A42" s="84"/>
      <c r="B42" s="179" t="s">
        <v>266</v>
      </c>
      <c r="C42" s="299">
        <v>4134</v>
      </c>
      <c r="D42" s="320">
        <v>734</v>
      </c>
      <c r="E42" s="320">
        <v>3270</v>
      </c>
      <c r="F42" s="320">
        <v>534</v>
      </c>
      <c r="G42" s="320">
        <v>138</v>
      </c>
      <c r="H42" s="320">
        <v>185</v>
      </c>
      <c r="I42" s="320">
        <v>1056</v>
      </c>
      <c r="J42" s="320">
        <v>753</v>
      </c>
      <c r="K42" s="320">
        <v>1270</v>
      </c>
      <c r="L42" s="320">
        <v>198</v>
      </c>
      <c r="M42" s="84"/>
    </row>
    <row r="43" spans="1:20" ht="14.25" customHeight="1">
      <c r="A43" s="84"/>
      <c r="B43" s="179" t="s">
        <v>267</v>
      </c>
      <c r="C43" s="299">
        <v>4309</v>
      </c>
      <c r="D43" s="320">
        <v>839</v>
      </c>
      <c r="E43" s="320">
        <v>3339</v>
      </c>
      <c r="F43" s="320">
        <v>635</v>
      </c>
      <c r="G43" s="320">
        <v>112</v>
      </c>
      <c r="H43" s="320">
        <v>193</v>
      </c>
      <c r="I43" s="320">
        <v>1083</v>
      </c>
      <c r="J43" s="320">
        <v>744</v>
      </c>
      <c r="K43" s="320">
        <v>1319</v>
      </c>
      <c r="L43" s="320">
        <v>223</v>
      </c>
      <c r="M43" s="84"/>
    </row>
    <row r="44" spans="1:20" ht="14.25" customHeight="1">
      <c r="A44" s="84"/>
      <c r="B44" s="316" t="s">
        <v>268</v>
      </c>
      <c r="C44" s="299">
        <v>4561</v>
      </c>
      <c r="D44" s="320">
        <v>915</v>
      </c>
      <c r="E44" s="320">
        <v>3492</v>
      </c>
      <c r="F44" s="320">
        <v>624</v>
      </c>
      <c r="G44" s="320">
        <v>127</v>
      </c>
      <c r="H44" s="320">
        <v>183</v>
      </c>
      <c r="I44" s="320">
        <v>1220</v>
      </c>
      <c r="J44" s="320">
        <v>859</v>
      </c>
      <c r="K44" s="320">
        <v>1333</v>
      </c>
      <c r="L44" s="320">
        <v>215</v>
      </c>
      <c r="M44" s="84"/>
    </row>
    <row r="45" spans="1:20" ht="14.25" customHeight="1">
      <c r="A45" s="84"/>
      <c r="B45" s="316" t="s">
        <v>269</v>
      </c>
      <c r="C45" s="299">
        <v>4471</v>
      </c>
      <c r="D45" s="320">
        <v>797</v>
      </c>
      <c r="E45" s="320">
        <v>3474</v>
      </c>
      <c r="F45" s="320">
        <v>605</v>
      </c>
      <c r="G45" s="320">
        <v>133</v>
      </c>
      <c r="H45" s="320">
        <v>169</v>
      </c>
      <c r="I45" s="320">
        <v>1033</v>
      </c>
      <c r="J45" s="320">
        <v>838</v>
      </c>
      <c r="K45" s="320">
        <v>1481</v>
      </c>
      <c r="L45" s="320">
        <v>212</v>
      </c>
      <c r="M45" s="84"/>
      <c r="T45" s="314"/>
    </row>
    <row r="46" spans="1:20" ht="6" customHeight="1">
      <c r="A46" s="84"/>
      <c r="B46" s="316"/>
      <c r="C46" s="299"/>
      <c r="D46" s="320"/>
      <c r="E46" s="320"/>
      <c r="F46" s="320"/>
      <c r="G46" s="320"/>
      <c r="H46" s="320"/>
      <c r="I46" s="320"/>
      <c r="J46" s="320"/>
      <c r="K46" s="320"/>
      <c r="L46" s="320"/>
      <c r="M46" s="84"/>
      <c r="T46" s="314"/>
    </row>
    <row r="47" spans="1:20" ht="14.25" customHeight="1">
      <c r="A47" s="84"/>
      <c r="B47" s="316" t="s">
        <v>270</v>
      </c>
      <c r="C47" s="299">
        <v>4669</v>
      </c>
      <c r="D47" s="320">
        <v>923</v>
      </c>
      <c r="E47" s="320">
        <v>3539</v>
      </c>
      <c r="F47" s="320">
        <v>601</v>
      </c>
      <c r="G47" s="320">
        <v>108</v>
      </c>
      <c r="H47" s="320">
        <v>151</v>
      </c>
      <c r="I47" s="320">
        <v>1172</v>
      </c>
      <c r="J47" s="320">
        <v>878</v>
      </c>
      <c r="K47" s="320">
        <v>1593</v>
      </c>
      <c r="L47" s="320">
        <v>166</v>
      </c>
      <c r="M47" s="84"/>
      <c r="S47" s="314"/>
      <c r="T47" s="314"/>
    </row>
    <row r="48" spans="1:20" ht="14.25" customHeight="1">
      <c r="A48" s="84"/>
      <c r="B48" s="316" t="s">
        <v>271</v>
      </c>
      <c r="C48" s="299">
        <v>4963</v>
      </c>
      <c r="D48" s="320">
        <v>1017</v>
      </c>
      <c r="E48" s="320">
        <v>3746</v>
      </c>
      <c r="F48" s="320">
        <v>684</v>
      </c>
      <c r="G48" s="320">
        <v>114</v>
      </c>
      <c r="H48" s="320">
        <v>188</v>
      </c>
      <c r="I48" s="320">
        <v>1150</v>
      </c>
      <c r="J48" s="320">
        <v>897</v>
      </c>
      <c r="K48" s="320">
        <v>1693</v>
      </c>
      <c r="L48" s="320">
        <v>237</v>
      </c>
      <c r="M48" s="84"/>
      <c r="S48" s="314"/>
      <c r="T48" s="314"/>
    </row>
    <row r="49" spans="1:20" ht="14.25" customHeight="1">
      <c r="A49" s="84"/>
      <c r="B49" s="316" t="s">
        <v>272</v>
      </c>
      <c r="C49" s="299">
        <v>4982</v>
      </c>
      <c r="D49" s="320">
        <v>898</v>
      </c>
      <c r="E49" s="320">
        <v>3870</v>
      </c>
      <c r="F49" s="320">
        <v>597</v>
      </c>
      <c r="G49" s="320">
        <v>103</v>
      </c>
      <c r="H49" s="320">
        <v>176</v>
      </c>
      <c r="I49" s="320">
        <v>1144</v>
      </c>
      <c r="J49" s="320">
        <v>1003</v>
      </c>
      <c r="K49" s="320">
        <v>1756</v>
      </c>
      <c r="L49" s="320">
        <v>203</v>
      </c>
      <c r="M49" s="84"/>
      <c r="S49" s="314"/>
      <c r="T49" s="314"/>
    </row>
    <row r="50" spans="1:20" ht="14.25" customHeight="1">
      <c r="A50" s="84"/>
      <c r="B50" s="317" t="s">
        <v>273</v>
      </c>
      <c r="C50" s="299">
        <v>4688</v>
      </c>
      <c r="D50" s="320">
        <v>987</v>
      </c>
      <c r="E50" s="320">
        <v>3504</v>
      </c>
      <c r="F50" s="320">
        <v>653</v>
      </c>
      <c r="G50" s="320">
        <v>107</v>
      </c>
      <c r="H50" s="320">
        <v>171</v>
      </c>
      <c r="I50" s="320">
        <v>1052</v>
      </c>
      <c r="J50" s="320">
        <v>889</v>
      </c>
      <c r="K50" s="320">
        <v>1621</v>
      </c>
      <c r="L50" s="320">
        <v>195</v>
      </c>
      <c r="M50" s="84"/>
      <c r="S50" s="314"/>
      <c r="T50" s="314"/>
    </row>
    <row r="51" spans="1:20" ht="6" customHeight="1">
      <c r="A51" s="84"/>
      <c r="B51" s="317"/>
      <c r="C51" s="299"/>
      <c r="D51" s="320"/>
      <c r="E51" s="320"/>
      <c r="F51" s="320"/>
      <c r="G51" s="320"/>
      <c r="H51" s="320"/>
      <c r="I51" s="320"/>
      <c r="J51" s="320"/>
      <c r="K51" s="320"/>
      <c r="L51" s="320"/>
      <c r="M51" s="84"/>
      <c r="S51" s="314"/>
      <c r="T51" s="314"/>
    </row>
    <row r="52" spans="1:20" ht="14">
      <c r="A52" s="84"/>
      <c r="B52" s="316" t="s">
        <v>274</v>
      </c>
      <c r="C52" s="299">
        <v>5244</v>
      </c>
      <c r="D52" s="320">
        <v>1129</v>
      </c>
      <c r="E52" s="320">
        <v>3901</v>
      </c>
      <c r="F52" s="320">
        <v>607</v>
      </c>
      <c r="G52" s="320">
        <v>106</v>
      </c>
      <c r="H52" s="320">
        <v>185</v>
      </c>
      <c r="I52" s="320">
        <v>1272</v>
      </c>
      <c r="J52" s="320">
        <v>1020</v>
      </c>
      <c r="K52" s="320">
        <v>1822</v>
      </c>
      <c r="L52" s="320">
        <v>232</v>
      </c>
      <c r="M52" s="84"/>
      <c r="S52" s="314"/>
      <c r="T52" s="314"/>
    </row>
    <row r="53" spans="1:20" ht="14">
      <c r="A53" s="84"/>
      <c r="B53" s="316" t="s">
        <v>275</v>
      </c>
      <c r="C53" s="299">
        <v>5295</v>
      </c>
      <c r="D53" s="320">
        <v>1157</v>
      </c>
      <c r="E53" s="320">
        <v>3884</v>
      </c>
      <c r="F53" s="320">
        <v>667</v>
      </c>
      <c r="G53" s="320">
        <v>65</v>
      </c>
      <c r="H53" s="320">
        <v>182</v>
      </c>
      <c r="I53" s="320">
        <v>1221</v>
      </c>
      <c r="J53" s="320">
        <v>975</v>
      </c>
      <c r="K53" s="320">
        <v>1944</v>
      </c>
      <c r="L53" s="320">
        <v>241</v>
      </c>
      <c r="M53" s="84"/>
      <c r="S53" s="314"/>
      <c r="T53" s="314"/>
    </row>
    <row r="54" spans="1:20" ht="14">
      <c r="A54" s="84"/>
      <c r="B54" s="316" t="s">
        <v>276</v>
      </c>
      <c r="C54" s="299">
        <v>5390</v>
      </c>
      <c r="D54" s="320">
        <v>1046</v>
      </c>
      <c r="E54" s="320">
        <v>4074</v>
      </c>
      <c r="F54" s="320">
        <v>547</v>
      </c>
      <c r="G54" s="320">
        <v>87</v>
      </c>
      <c r="H54" s="320">
        <v>174</v>
      </c>
      <c r="I54" s="320">
        <v>1231</v>
      </c>
      <c r="J54" s="320">
        <v>1066</v>
      </c>
      <c r="K54" s="320">
        <v>2062</v>
      </c>
      <c r="L54" s="320">
        <v>223</v>
      </c>
      <c r="M54" s="84"/>
      <c r="S54" s="314"/>
      <c r="T54" s="314"/>
    </row>
    <row r="55" spans="1:20" ht="14" customHeight="1">
      <c r="A55" s="84"/>
      <c r="B55" s="316" t="s">
        <v>277</v>
      </c>
      <c r="C55" s="299">
        <v>5212</v>
      </c>
      <c r="D55" s="320">
        <v>1015</v>
      </c>
      <c r="E55" s="320">
        <v>3920</v>
      </c>
      <c r="F55" s="320">
        <v>611</v>
      </c>
      <c r="G55" s="320">
        <v>76</v>
      </c>
      <c r="H55" s="320">
        <v>188</v>
      </c>
      <c r="I55" s="320">
        <v>1164</v>
      </c>
      <c r="J55" s="320">
        <v>993</v>
      </c>
      <c r="K55" s="320">
        <v>1972</v>
      </c>
      <c r="L55" s="320">
        <v>208</v>
      </c>
      <c r="M55" s="84"/>
      <c r="S55" s="314"/>
      <c r="T55" s="314"/>
    </row>
    <row r="56" spans="1:20" ht="6" customHeight="1">
      <c r="A56" s="84"/>
      <c r="B56" s="316"/>
      <c r="C56" s="299"/>
      <c r="D56" s="320"/>
      <c r="E56" s="320"/>
      <c r="F56" s="320"/>
      <c r="G56" s="320"/>
      <c r="H56" s="320"/>
      <c r="I56" s="320"/>
      <c r="J56" s="320"/>
      <c r="K56" s="320"/>
      <c r="L56" s="320"/>
      <c r="M56" s="84"/>
      <c r="S56" s="314"/>
      <c r="T56" s="314"/>
    </row>
    <row r="57" spans="1:20" ht="14.5" customHeight="1">
      <c r="A57" s="84"/>
      <c r="B57" s="316" t="s">
        <v>278</v>
      </c>
      <c r="C57" s="299">
        <v>5303</v>
      </c>
      <c r="D57" s="320">
        <v>1118</v>
      </c>
      <c r="E57" s="320">
        <v>3936</v>
      </c>
      <c r="F57" s="320">
        <v>633</v>
      </c>
      <c r="G57" s="320">
        <v>88</v>
      </c>
      <c r="H57" s="320">
        <v>159</v>
      </c>
      <c r="I57" s="320">
        <v>1215</v>
      </c>
      <c r="J57" s="320">
        <v>901</v>
      </c>
      <c r="K57" s="320">
        <v>2054</v>
      </c>
      <c r="L57" s="320">
        <v>253</v>
      </c>
      <c r="M57" s="84"/>
      <c r="S57" s="314"/>
      <c r="T57" s="314"/>
    </row>
    <row r="58" spans="1:20" ht="14">
      <c r="A58" s="84"/>
      <c r="B58" s="67" t="s">
        <v>279</v>
      </c>
      <c r="C58" s="299">
        <v>5442</v>
      </c>
      <c r="D58" s="320">
        <v>1164</v>
      </c>
      <c r="E58" s="320">
        <v>4055</v>
      </c>
      <c r="F58" s="320">
        <v>654</v>
      </c>
      <c r="G58" s="320">
        <v>84</v>
      </c>
      <c r="H58" s="320">
        <v>180</v>
      </c>
      <c r="I58" s="320">
        <v>1376</v>
      </c>
      <c r="J58" s="320">
        <v>930</v>
      </c>
      <c r="K58" s="320">
        <v>1972</v>
      </c>
      <c r="L58" s="320">
        <v>246</v>
      </c>
      <c r="M58" s="84"/>
      <c r="N58" s="313"/>
      <c r="S58" s="314"/>
      <c r="T58" s="314"/>
    </row>
    <row r="59" spans="1:20" ht="14">
      <c r="A59" s="84"/>
      <c r="B59" s="316" t="s">
        <v>280</v>
      </c>
      <c r="C59" s="299">
        <v>5652</v>
      </c>
      <c r="D59" s="320">
        <v>1057</v>
      </c>
      <c r="E59" s="320">
        <v>4358</v>
      </c>
      <c r="F59" s="320">
        <v>601</v>
      </c>
      <c r="G59" s="320">
        <v>71</v>
      </c>
      <c r="H59" s="320">
        <v>118</v>
      </c>
      <c r="I59" s="320">
        <v>1313</v>
      </c>
      <c r="J59" s="320">
        <v>1087</v>
      </c>
      <c r="K59" s="320">
        <v>2181</v>
      </c>
      <c r="L59" s="320">
        <v>281</v>
      </c>
      <c r="M59" s="84"/>
      <c r="S59" s="314"/>
      <c r="T59" s="314"/>
    </row>
    <row r="60" spans="1:20" ht="14">
      <c r="A60" s="84"/>
      <c r="B60" s="316" t="s">
        <v>281</v>
      </c>
      <c r="C60" s="299">
        <v>5251</v>
      </c>
      <c r="D60" s="320">
        <v>969</v>
      </c>
      <c r="E60" s="320">
        <v>4055</v>
      </c>
      <c r="F60" s="320">
        <v>561</v>
      </c>
      <c r="G60" s="320">
        <v>50</v>
      </c>
      <c r="H60" s="320">
        <v>111</v>
      </c>
      <c r="I60" s="320">
        <v>1212</v>
      </c>
      <c r="J60" s="320">
        <v>988</v>
      </c>
      <c r="K60" s="320">
        <v>2064</v>
      </c>
      <c r="L60" s="320">
        <v>265</v>
      </c>
      <c r="M60" s="84"/>
      <c r="S60" s="314"/>
      <c r="T60" s="314"/>
    </row>
    <row r="61" spans="1:20" ht="6" customHeight="1">
      <c r="A61" s="84"/>
      <c r="B61" s="316"/>
      <c r="C61" s="299"/>
      <c r="D61" s="320"/>
      <c r="E61" s="320"/>
      <c r="F61" s="320"/>
      <c r="G61" s="320"/>
      <c r="H61" s="320"/>
      <c r="I61" s="320"/>
      <c r="J61" s="320"/>
      <c r="K61" s="320"/>
      <c r="L61" s="320"/>
      <c r="M61" s="84"/>
      <c r="S61" s="314"/>
      <c r="T61" s="314"/>
    </row>
    <row r="62" spans="1:20" ht="14.25" customHeight="1">
      <c r="A62" s="84"/>
      <c r="B62" s="316" t="s">
        <v>282</v>
      </c>
      <c r="C62" s="299">
        <v>5823</v>
      </c>
      <c r="D62" s="320">
        <v>1160</v>
      </c>
      <c r="E62" s="320">
        <v>4451</v>
      </c>
      <c r="F62" s="320">
        <v>678</v>
      </c>
      <c r="G62" s="320">
        <v>66</v>
      </c>
      <c r="H62" s="320">
        <v>112</v>
      </c>
      <c r="I62" s="320">
        <v>1286</v>
      </c>
      <c r="J62" s="320">
        <v>1144</v>
      </c>
      <c r="K62" s="320">
        <v>2295</v>
      </c>
      <c r="L62" s="320">
        <v>242</v>
      </c>
      <c r="M62" s="84"/>
      <c r="S62" s="314"/>
      <c r="T62" s="314"/>
    </row>
    <row r="63" spans="1:20" ht="14.25" customHeight="1">
      <c r="A63" s="84"/>
      <c r="B63" s="316" t="s">
        <v>283</v>
      </c>
      <c r="C63" s="299">
        <v>5728</v>
      </c>
      <c r="D63" s="320">
        <v>1229</v>
      </c>
      <c r="E63" s="320">
        <v>4259</v>
      </c>
      <c r="F63" s="320">
        <v>751</v>
      </c>
      <c r="G63" s="320">
        <v>64</v>
      </c>
      <c r="H63" s="320">
        <v>117</v>
      </c>
      <c r="I63" s="320">
        <v>1351</v>
      </c>
      <c r="J63" s="320">
        <v>1051</v>
      </c>
      <c r="K63" s="320">
        <v>2124</v>
      </c>
      <c r="L63" s="320">
        <v>270</v>
      </c>
      <c r="M63" s="84"/>
      <c r="S63" s="314"/>
    </row>
    <row r="64" spans="1:20" ht="14.25" customHeight="1">
      <c r="A64" s="84"/>
      <c r="B64" s="316" t="s">
        <v>284</v>
      </c>
      <c r="C64" s="299">
        <v>5671</v>
      </c>
      <c r="D64" s="320">
        <v>1097</v>
      </c>
      <c r="E64" s="320">
        <v>4315</v>
      </c>
      <c r="F64" s="320">
        <v>672</v>
      </c>
      <c r="G64" s="320">
        <v>73</v>
      </c>
      <c r="H64" s="320">
        <v>117</v>
      </c>
      <c r="I64" s="320">
        <v>1247</v>
      </c>
      <c r="J64" s="320">
        <v>1166</v>
      </c>
      <c r="K64" s="320">
        <v>2144</v>
      </c>
      <c r="L64" s="320">
        <v>252</v>
      </c>
      <c r="M64" s="84"/>
      <c r="S64" s="314"/>
    </row>
    <row r="65" spans="1:19" ht="14.25" customHeight="1">
      <c r="A65" s="84"/>
      <c r="B65" s="316" t="s">
        <v>285</v>
      </c>
      <c r="C65" s="299">
        <v>5202</v>
      </c>
      <c r="D65" s="320">
        <v>956</v>
      </c>
      <c r="E65" s="320">
        <v>4037</v>
      </c>
      <c r="F65" s="320">
        <v>578</v>
      </c>
      <c r="G65" s="320">
        <v>70</v>
      </c>
      <c r="H65" s="320">
        <v>114</v>
      </c>
      <c r="I65" s="320">
        <v>1243</v>
      </c>
      <c r="J65" s="320">
        <v>1055</v>
      </c>
      <c r="K65" s="320">
        <v>1932</v>
      </c>
      <c r="L65" s="320">
        <v>210</v>
      </c>
      <c r="M65" s="84"/>
      <c r="S65" s="314"/>
    </row>
    <row r="66" spans="1:19" ht="6" customHeight="1">
      <c r="A66" s="84"/>
      <c r="B66" s="316"/>
      <c r="C66" s="299"/>
      <c r="D66" s="320"/>
      <c r="E66" s="320"/>
      <c r="F66" s="320"/>
      <c r="G66" s="320"/>
      <c r="H66" s="320"/>
      <c r="I66" s="320"/>
      <c r="J66" s="320"/>
      <c r="K66" s="320"/>
      <c r="L66" s="320"/>
      <c r="M66" s="84"/>
      <c r="S66" s="314"/>
    </row>
    <row r="67" spans="1:19" ht="14.25" customHeight="1">
      <c r="A67" s="84"/>
      <c r="B67" s="316" t="s">
        <v>286</v>
      </c>
      <c r="C67" s="299">
        <v>4914</v>
      </c>
      <c r="D67" s="320">
        <v>993</v>
      </c>
      <c r="E67" s="320">
        <v>3706</v>
      </c>
      <c r="F67" s="320">
        <v>635</v>
      </c>
      <c r="G67" s="320">
        <v>64</v>
      </c>
      <c r="H67" s="320">
        <v>98</v>
      </c>
      <c r="I67" s="320">
        <v>1118</v>
      </c>
      <c r="J67" s="320">
        <v>1068</v>
      </c>
      <c r="K67" s="320">
        <v>1717</v>
      </c>
      <c r="L67" s="320">
        <v>214</v>
      </c>
      <c r="M67" s="84"/>
      <c r="S67" s="314"/>
    </row>
    <row r="68" spans="1:19" ht="14.25" customHeight="1">
      <c r="A68" s="84"/>
      <c r="B68" s="318" t="s">
        <v>287</v>
      </c>
      <c r="C68" s="299">
        <v>2766</v>
      </c>
      <c r="D68" s="320">
        <v>522</v>
      </c>
      <c r="E68" s="320">
        <v>2122</v>
      </c>
      <c r="F68" s="320">
        <v>618</v>
      </c>
      <c r="G68" s="320">
        <v>19</v>
      </c>
      <c r="H68" s="320">
        <v>24</v>
      </c>
      <c r="I68" s="320">
        <v>387</v>
      </c>
      <c r="J68" s="320">
        <v>419</v>
      </c>
      <c r="K68" s="320">
        <v>1167</v>
      </c>
      <c r="L68" s="320">
        <v>132</v>
      </c>
      <c r="M68" s="84"/>
      <c r="Q68" s="311"/>
      <c r="S68" s="314"/>
    </row>
    <row r="69" spans="1:19" ht="14.25" customHeight="1">
      <c r="A69" s="84"/>
      <c r="B69" s="67" t="s">
        <v>288</v>
      </c>
      <c r="C69" s="299">
        <v>5390</v>
      </c>
      <c r="D69" s="320">
        <v>976</v>
      </c>
      <c r="E69" s="320">
        <v>4198</v>
      </c>
      <c r="F69" s="320">
        <v>602</v>
      </c>
      <c r="G69" s="320">
        <v>78</v>
      </c>
      <c r="H69" s="320">
        <v>122</v>
      </c>
      <c r="I69" s="320">
        <v>1449</v>
      </c>
      <c r="J69" s="320">
        <v>1236</v>
      </c>
      <c r="K69" s="320">
        <v>1664</v>
      </c>
      <c r="L69" s="320">
        <v>239</v>
      </c>
      <c r="M69" s="84"/>
      <c r="S69" s="314"/>
    </row>
    <row r="70" spans="1:19" ht="14.25" customHeight="1">
      <c r="A70" s="84"/>
      <c r="B70" s="67" t="s">
        <v>289</v>
      </c>
      <c r="C70" s="299">
        <v>5405</v>
      </c>
      <c r="D70" s="320">
        <v>985</v>
      </c>
      <c r="E70" s="320">
        <v>4226</v>
      </c>
      <c r="F70" s="320">
        <v>601</v>
      </c>
      <c r="G70" s="320">
        <v>87</v>
      </c>
      <c r="H70" s="320">
        <v>128</v>
      </c>
      <c r="I70" s="320">
        <v>1395</v>
      </c>
      <c r="J70" s="320">
        <v>1367</v>
      </c>
      <c r="K70" s="320">
        <v>1509</v>
      </c>
      <c r="L70" s="320">
        <v>318</v>
      </c>
      <c r="M70" s="84"/>
      <c r="S70" s="314"/>
    </row>
    <row r="71" spans="1:19" ht="6" customHeight="1">
      <c r="A71" s="84"/>
      <c r="B71" s="67"/>
      <c r="C71" s="299"/>
      <c r="D71" s="320"/>
      <c r="E71" s="320"/>
      <c r="F71" s="320"/>
      <c r="G71" s="320"/>
      <c r="H71" s="320"/>
      <c r="I71" s="320"/>
      <c r="J71" s="320"/>
      <c r="K71" s="320"/>
      <c r="L71" s="320"/>
      <c r="M71" s="84"/>
      <c r="S71" s="314"/>
    </row>
    <row r="72" spans="1:19" ht="14.25" customHeight="1">
      <c r="A72" s="84"/>
      <c r="B72" s="67" t="s">
        <v>290</v>
      </c>
      <c r="C72" s="322">
        <v>5038</v>
      </c>
      <c r="D72" s="321">
        <v>959</v>
      </c>
      <c r="E72" s="321">
        <v>4077</v>
      </c>
      <c r="F72" s="321">
        <v>592</v>
      </c>
      <c r="G72" s="321">
        <v>88</v>
      </c>
      <c r="H72" s="321">
        <v>137</v>
      </c>
      <c r="I72" s="321">
        <v>1255</v>
      </c>
      <c r="J72" s="321">
        <v>1207</v>
      </c>
      <c r="K72" s="321">
        <v>1534</v>
      </c>
      <c r="L72" s="321">
        <v>225</v>
      </c>
      <c r="M72" s="84"/>
      <c r="N72" s="314"/>
      <c r="S72" s="314"/>
    </row>
    <row r="73" spans="1:19" ht="14.25" customHeight="1">
      <c r="A73" s="84"/>
      <c r="B73" s="67" t="s">
        <v>291</v>
      </c>
      <c r="C73" s="322">
        <v>4989</v>
      </c>
      <c r="D73" s="321">
        <v>901</v>
      </c>
      <c r="E73" s="321">
        <v>4088</v>
      </c>
      <c r="F73" s="321">
        <v>600</v>
      </c>
      <c r="G73" s="321">
        <v>79</v>
      </c>
      <c r="H73" s="321">
        <v>105</v>
      </c>
      <c r="I73" s="321">
        <v>1245</v>
      </c>
      <c r="J73" s="321">
        <v>1272</v>
      </c>
      <c r="K73" s="321">
        <v>1458</v>
      </c>
      <c r="L73" s="321">
        <v>230</v>
      </c>
      <c r="M73" s="84"/>
      <c r="N73" s="314"/>
      <c r="S73" s="314"/>
    </row>
    <row r="74" spans="1:19" ht="14.25" customHeight="1">
      <c r="A74" s="84"/>
      <c r="B74" s="67" t="s">
        <v>292</v>
      </c>
      <c r="C74" s="322">
        <v>4844</v>
      </c>
      <c r="D74" s="321">
        <v>875</v>
      </c>
      <c r="E74" s="321">
        <v>3968</v>
      </c>
      <c r="F74" s="321">
        <v>609</v>
      </c>
      <c r="G74" s="321">
        <v>54</v>
      </c>
      <c r="H74" s="321">
        <v>86</v>
      </c>
      <c r="I74" s="321">
        <v>1198</v>
      </c>
      <c r="J74" s="321">
        <v>1257</v>
      </c>
      <c r="K74" s="321">
        <v>1410</v>
      </c>
      <c r="L74" s="321">
        <v>230</v>
      </c>
      <c r="M74" s="84"/>
      <c r="N74" s="314"/>
      <c r="S74" s="314"/>
    </row>
    <row r="75" spans="1:19" ht="14.25" customHeight="1">
      <c r="A75" s="84"/>
      <c r="B75" s="67" t="s">
        <v>293</v>
      </c>
      <c r="C75" s="322">
        <v>4741</v>
      </c>
      <c r="D75" s="321">
        <v>804</v>
      </c>
      <c r="E75" s="321">
        <v>3936</v>
      </c>
      <c r="F75" s="321">
        <v>565</v>
      </c>
      <c r="G75" s="321">
        <v>55</v>
      </c>
      <c r="H75" s="321">
        <v>107</v>
      </c>
      <c r="I75" s="321">
        <v>1103</v>
      </c>
      <c r="J75" s="321">
        <v>1103</v>
      </c>
      <c r="K75" s="321">
        <v>1536</v>
      </c>
      <c r="L75" s="321">
        <v>272</v>
      </c>
      <c r="M75" s="84"/>
      <c r="N75" s="314"/>
      <c r="S75" s="314"/>
    </row>
    <row r="76" spans="1:19" ht="6" customHeight="1">
      <c r="A76" s="84"/>
      <c r="B76" s="67"/>
      <c r="C76" s="322"/>
      <c r="D76" s="321"/>
      <c r="E76" s="321"/>
      <c r="F76" s="321"/>
      <c r="G76" s="321"/>
      <c r="H76" s="321"/>
      <c r="I76" s="321"/>
      <c r="J76" s="321"/>
      <c r="K76" s="321"/>
      <c r="L76" s="321"/>
      <c r="M76" s="84"/>
      <c r="N76" s="314"/>
      <c r="S76" s="314"/>
    </row>
    <row r="77" spans="1:19" ht="14.25" customHeight="1">
      <c r="A77" s="84"/>
      <c r="B77" s="67" t="s">
        <v>294</v>
      </c>
      <c r="C77" s="322">
        <v>4981</v>
      </c>
      <c r="D77" s="321">
        <v>910</v>
      </c>
      <c r="E77" s="321">
        <v>4068</v>
      </c>
      <c r="F77" s="321">
        <v>599</v>
      </c>
      <c r="G77" s="321">
        <v>62</v>
      </c>
      <c r="H77" s="321">
        <v>93</v>
      </c>
      <c r="I77" s="321">
        <v>1114</v>
      </c>
      <c r="J77" s="321">
        <v>1281</v>
      </c>
      <c r="K77" s="321">
        <v>1411</v>
      </c>
      <c r="L77" s="321">
        <v>421</v>
      </c>
      <c r="M77" s="84"/>
      <c r="N77" s="314"/>
      <c r="S77" s="314"/>
    </row>
    <row r="78" spans="1:19" ht="6" customHeight="1">
      <c r="A78" s="84"/>
      <c r="B78" s="75"/>
      <c r="C78" s="296"/>
      <c r="D78" s="301"/>
      <c r="E78" s="324"/>
      <c r="F78" s="296"/>
      <c r="G78" s="296"/>
      <c r="H78" s="296"/>
      <c r="I78" s="296"/>
      <c r="J78" s="296"/>
      <c r="K78" s="296"/>
      <c r="L78" s="296"/>
      <c r="M78" s="84"/>
      <c r="Q78" s="310"/>
      <c r="R78" s="310"/>
      <c r="S78" s="314"/>
    </row>
    <row r="79" spans="1:19" ht="6" customHeight="1">
      <c r="A79" s="84"/>
      <c r="B79" s="67"/>
      <c r="C79" s="84"/>
      <c r="D79" s="277"/>
      <c r="E79" s="403"/>
      <c r="F79" s="84"/>
      <c r="G79" s="84"/>
      <c r="H79" s="84"/>
      <c r="I79" s="84"/>
      <c r="J79" s="84"/>
      <c r="K79" s="84"/>
      <c r="L79" s="84"/>
      <c r="M79" s="84"/>
      <c r="Q79" s="310"/>
      <c r="R79" s="310"/>
      <c r="S79" s="314"/>
    </row>
    <row r="80" spans="1:19" ht="14">
      <c r="A80" s="84"/>
      <c r="B80" s="67" t="s">
        <v>34</v>
      </c>
      <c r="C80" s="84"/>
      <c r="D80" s="84"/>
      <c r="E80" s="84"/>
      <c r="F80" s="84"/>
      <c r="G80" s="84"/>
      <c r="H80" s="84"/>
      <c r="I80" s="84"/>
      <c r="J80" s="84"/>
      <c r="K80" s="84"/>
      <c r="L80" s="84"/>
      <c r="M80" s="84"/>
      <c r="Q80" s="310"/>
      <c r="R80" s="310"/>
      <c r="S80" s="314"/>
    </row>
    <row r="81" spans="1:21" ht="14">
      <c r="A81" s="84"/>
      <c r="B81" s="67" t="s">
        <v>295</v>
      </c>
      <c r="C81" s="84"/>
      <c r="D81" s="84"/>
      <c r="E81" s="84"/>
      <c r="F81" s="84"/>
      <c r="G81" s="84"/>
      <c r="H81" s="84"/>
      <c r="I81" s="84"/>
      <c r="J81" s="84"/>
      <c r="K81" s="84"/>
      <c r="L81" s="84"/>
      <c r="M81" s="84"/>
      <c r="Q81" s="319"/>
      <c r="R81" s="319"/>
      <c r="S81" s="314"/>
    </row>
    <row r="82" spans="1:21" ht="14">
      <c r="A82" s="84"/>
      <c r="B82" s="67" t="s">
        <v>296</v>
      </c>
      <c r="C82" s="84"/>
      <c r="D82" s="84"/>
      <c r="E82" s="84"/>
      <c r="F82" s="84"/>
      <c r="G82" s="84"/>
      <c r="H82" s="84"/>
      <c r="I82" s="84"/>
      <c r="J82" s="84"/>
      <c r="K82" s="84"/>
      <c r="L82" s="84"/>
      <c r="M82" s="84"/>
      <c r="Q82" s="319"/>
      <c r="R82" s="319"/>
      <c r="S82" s="314"/>
    </row>
    <row r="83" spans="1:21" ht="28.25" customHeight="1">
      <c r="A83" s="84"/>
      <c r="B83" s="721" t="s">
        <v>297</v>
      </c>
      <c r="C83" s="721"/>
      <c r="D83" s="721"/>
      <c r="E83" s="721"/>
      <c r="F83" s="721"/>
      <c r="G83" s="721"/>
      <c r="H83" s="721"/>
      <c r="I83" s="721"/>
      <c r="J83" s="721"/>
      <c r="K83" s="721"/>
      <c r="L83" s="721"/>
      <c r="M83" s="84"/>
    </row>
    <row r="84" spans="1:21" ht="27" customHeight="1">
      <c r="A84" s="84"/>
      <c r="B84" s="721" t="s">
        <v>298</v>
      </c>
      <c r="C84" s="721"/>
      <c r="D84" s="721"/>
      <c r="E84" s="721"/>
      <c r="F84" s="721"/>
      <c r="G84" s="721"/>
      <c r="H84" s="721"/>
      <c r="I84" s="721"/>
      <c r="J84" s="721"/>
      <c r="K84" s="721"/>
      <c r="L84" s="721"/>
      <c r="M84" s="84"/>
      <c r="O84" s="121"/>
    </row>
    <row r="85" spans="1:21" ht="16.25" customHeight="1">
      <c r="A85" s="84"/>
      <c r="B85" s="721" t="s">
        <v>299</v>
      </c>
      <c r="C85" s="721"/>
      <c r="D85" s="721"/>
      <c r="E85" s="721"/>
      <c r="F85" s="721"/>
      <c r="G85" s="721"/>
      <c r="H85" s="721"/>
      <c r="I85" s="721"/>
      <c r="J85" s="721"/>
      <c r="K85" s="721"/>
      <c r="L85" s="721"/>
      <c r="M85" s="84"/>
      <c r="O85" s="121"/>
    </row>
    <row r="86" spans="1:21" ht="28.25" customHeight="1">
      <c r="A86" s="84"/>
      <c r="B86" s="721" t="s">
        <v>300</v>
      </c>
      <c r="C86" s="721"/>
      <c r="D86" s="721"/>
      <c r="E86" s="721"/>
      <c r="F86" s="721"/>
      <c r="G86" s="721"/>
      <c r="H86" s="721"/>
      <c r="I86" s="721"/>
      <c r="J86" s="721"/>
      <c r="K86" s="721"/>
      <c r="L86" s="721"/>
      <c r="M86" s="84"/>
      <c r="N86" s="121"/>
      <c r="O86" s="122"/>
      <c r="Q86" s="121"/>
      <c r="R86" s="121"/>
      <c r="S86" s="121"/>
      <c r="U86" s="121"/>
    </row>
    <row r="87" spans="1:21" ht="14">
      <c r="A87" s="84"/>
      <c r="B87" s="67" t="s">
        <v>36</v>
      </c>
      <c r="C87" s="84"/>
      <c r="D87" s="84"/>
      <c r="E87" s="84"/>
      <c r="F87" s="84"/>
      <c r="G87" s="84"/>
      <c r="H87" s="84"/>
      <c r="I87" s="84"/>
      <c r="J87" s="84"/>
      <c r="K87" s="84"/>
      <c r="L87" s="84"/>
      <c r="M87" s="84"/>
    </row>
    <row r="88" spans="1:21" ht="14">
      <c r="A88" s="278"/>
      <c r="B88" s="360" t="s">
        <v>301</v>
      </c>
      <c r="C88" s="377"/>
      <c r="D88" s="278"/>
      <c r="E88" s="278"/>
      <c r="F88" s="278"/>
      <c r="G88" s="278"/>
      <c r="H88" s="278"/>
      <c r="I88" s="278"/>
      <c r="J88" s="278"/>
      <c r="K88" s="278"/>
      <c r="L88" s="278"/>
      <c r="M88" s="84"/>
    </row>
    <row r="89" spans="1:21">
      <c r="A89" s="84"/>
      <c r="B89" s="384"/>
      <c r="C89" s="384"/>
      <c r="D89" s="84"/>
      <c r="E89" s="84"/>
      <c r="F89" s="84"/>
      <c r="G89" s="84"/>
      <c r="H89" s="84"/>
      <c r="I89" s="84"/>
      <c r="J89" s="84"/>
      <c r="K89" s="84"/>
      <c r="L89" s="84"/>
      <c r="M89" s="84"/>
    </row>
    <row r="90" spans="1:21">
      <c r="B90" s="386"/>
      <c r="C90" s="386"/>
    </row>
    <row r="91" spans="1:21">
      <c r="B91" s="386"/>
      <c r="C91" s="386"/>
    </row>
    <row r="94" spans="1:21">
      <c r="B94" s="315"/>
      <c r="C94" s="312"/>
      <c r="D94" s="312"/>
      <c r="E94" s="312"/>
      <c r="F94" s="312"/>
      <c r="G94" s="312"/>
      <c r="H94" s="312"/>
      <c r="I94" s="312"/>
      <c r="J94" s="312"/>
    </row>
    <row r="95" spans="1:21">
      <c r="B95" s="730"/>
      <c r="C95" s="730"/>
      <c r="D95" s="730"/>
      <c r="E95" s="730"/>
      <c r="F95" s="730"/>
      <c r="G95" s="730"/>
      <c r="H95" s="730"/>
      <c r="I95" s="730"/>
      <c r="J95" s="730"/>
    </row>
    <row r="96" spans="1:21">
      <c r="B96" s="731"/>
      <c r="C96" s="731"/>
      <c r="D96" s="731"/>
      <c r="E96" s="731"/>
      <c r="F96" s="731"/>
      <c r="G96" s="731"/>
      <c r="H96" s="731"/>
      <c r="I96" s="731"/>
      <c r="J96" s="731"/>
    </row>
    <row r="97" spans="2:10">
      <c r="B97" s="315"/>
      <c r="C97" s="312"/>
      <c r="D97" s="312"/>
      <c r="E97" s="312"/>
      <c r="F97" s="312"/>
      <c r="G97" s="312"/>
      <c r="H97" s="312"/>
      <c r="I97" s="312"/>
      <c r="J97" s="312"/>
    </row>
    <row r="98" spans="2:10">
      <c r="B98" s="315"/>
      <c r="C98" s="312"/>
      <c r="D98" s="312"/>
      <c r="E98" s="312"/>
      <c r="F98" s="312"/>
      <c r="G98" s="312"/>
      <c r="H98" s="312"/>
      <c r="I98" s="312"/>
      <c r="J98" s="312"/>
    </row>
    <row r="99" spans="2:10">
      <c r="B99" s="732"/>
      <c r="C99" s="732"/>
      <c r="D99" s="732"/>
      <c r="E99" s="732"/>
      <c r="F99" s="732"/>
      <c r="G99" s="732"/>
      <c r="H99" s="732"/>
      <c r="I99" s="732"/>
      <c r="J99" s="732"/>
    </row>
  </sheetData>
  <mergeCells count="9">
    <mergeCell ref="B3:L3"/>
    <mergeCell ref="B95:J95"/>
    <mergeCell ref="B96:J96"/>
    <mergeCell ref="B99:J99"/>
    <mergeCell ref="F5:L5"/>
    <mergeCell ref="B83:L83"/>
    <mergeCell ref="B84:L84"/>
    <mergeCell ref="B85:L85"/>
    <mergeCell ref="B86:L86"/>
  </mergeCells>
  <hyperlinks>
    <hyperlink ref="B88" r:id="rId1" xr:uid="{6765D580-5D5E-465E-8F21-09C0CA3E55E6}"/>
  </hyperlinks>
  <pageMargins left="0.7" right="0.7" top="0.75" bottom="0.75" header="0.3" footer="0.3"/>
  <pageSetup paperSize="9" orientation="portrait" horizontalDpi="4294967293" verticalDpi="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71531-6A4D-432C-A130-3C4896DA589D}">
  <sheetPr>
    <tabColor theme="4"/>
  </sheetPr>
  <dimension ref="B1:AL152"/>
  <sheetViews>
    <sheetView zoomScale="85" zoomScaleNormal="85" zoomScaleSheetLayoutView="81" workbookViewId="0">
      <pane xSplit="3" ySplit="6" topLeftCell="D7" activePane="bottomRight" state="frozen"/>
      <selection pane="topRight" activeCell="Z28" sqref="Z28"/>
      <selection pane="bottomLeft" activeCell="Z28" sqref="Z28"/>
      <selection pane="bottomRight" activeCell="D7" sqref="D7"/>
    </sheetView>
  </sheetViews>
  <sheetFormatPr baseColWidth="10" defaultColWidth="9.1640625" defaultRowHeight="13"/>
  <cols>
    <col min="1" max="1" width="0" style="516" hidden="1" customWidth="1"/>
    <col min="2" max="2" width="1.5" style="516" customWidth="1"/>
    <col min="3" max="3" width="8.83203125" style="516" customWidth="1"/>
    <col min="4" max="4" width="11" style="516" customWidth="1"/>
    <col min="5" max="6" width="9.6640625" style="516" customWidth="1"/>
    <col min="7" max="7" width="11" style="516" customWidth="1"/>
    <col min="8" max="9" width="9.6640625" style="516" customWidth="1"/>
    <col min="10" max="12" width="11" style="516" customWidth="1"/>
    <col min="13" max="13" width="9.6640625" style="516" customWidth="1"/>
    <col min="14" max="14" width="1.5" style="516" customWidth="1"/>
    <col min="15" max="20" width="9" style="516" hidden="1" customWidth="1"/>
    <col min="21" max="21" width="8.83203125" style="516" hidden="1" customWidth="1"/>
    <col min="22" max="22" width="4.83203125" style="517" hidden="1" customWidth="1"/>
    <col min="23" max="23" width="10.33203125" style="518" hidden="1" customWidth="1"/>
    <col min="24" max="24" width="0" style="516" hidden="1" customWidth="1"/>
    <col min="25" max="25" width="11.5" style="516" hidden="1" customWidth="1"/>
    <col min="26" max="26" width="12" style="516" hidden="1" customWidth="1"/>
    <col min="27" max="27" width="8.83203125" style="516" hidden="1" customWidth="1"/>
    <col min="28" max="28" width="1.5" style="516" hidden="1" customWidth="1"/>
    <col min="29" max="35" width="0" style="516" hidden="1" customWidth="1"/>
    <col min="36" max="36" width="19.1640625" style="516" hidden="1" customWidth="1"/>
    <col min="37" max="38" width="1.5" style="516" hidden="1" customWidth="1"/>
    <col min="39" max="50" width="0" style="516" hidden="1" customWidth="1"/>
    <col min="51" max="16384" width="9.1640625" style="516"/>
  </cols>
  <sheetData>
    <row r="1" spans="2:36" ht="14" hidden="1">
      <c r="Z1" s="519"/>
      <c r="AA1" s="519"/>
      <c r="AB1" s="519"/>
      <c r="AC1" s="519"/>
      <c r="AD1" s="734"/>
      <c r="AE1" s="734"/>
      <c r="AF1" s="734"/>
      <c r="AG1" s="734"/>
      <c r="AH1" s="734"/>
      <c r="AI1" s="734"/>
      <c r="AJ1" s="734"/>
    </row>
    <row r="2" spans="2:36" ht="6" customHeight="1">
      <c r="B2" s="520"/>
      <c r="C2" s="520"/>
      <c r="D2" s="520"/>
      <c r="E2" s="520"/>
      <c r="F2" s="520"/>
      <c r="G2" s="520"/>
      <c r="H2" s="520"/>
      <c r="I2" s="520"/>
      <c r="J2" s="520"/>
      <c r="K2" s="520"/>
      <c r="L2" s="520"/>
      <c r="M2" s="520"/>
      <c r="N2" s="520"/>
      <c r="Z2" s="521"/>
      <c r="AA2" s="522"/>
      <c r="AB2" s="523"/>
      <c r="AC2" s="523"/>
      <c r="AD2" s="524"/>
      <c r="AE2" s="524"/>
      <c r="AF2" s="524"/>
      <c r="AG2" s="524"/>
      <c r="AH2" s="524"/>
      <c r="AI2" s="524"/>
      <c r="AJ2" s="524"/>
    </row>
    <row r="3" spans="2:36" ht="19.5" customHeight="1">
      <c r="B3" s="520"/>
      <c r="C3" s="680" t="s">
        <v>302</v>
      </c>
      <c r="D3" s="525"/>
      <c r="E3" s="525"/>
      <c r="F3" s="525"/>
      <c r="G3" s="525"/>
      <c r="H3" s="525"/>
      <c r="I3" s="525"/>
      <c r="J3" s="525"/>
      <c r="K3" s="525"/>
      <c r="L3" s="525"/>
      <c r="M3" s="525"/>
      <c r="N3" s="525"/>
      <c r="O3" s="526"/>
      <c r="P3" s="527"/>
      <c r="Q3" s="528"/>
      <c r="R3" s="528"/>
      <c r="S3" s="528"/>
      <c r="T3" s="528"/>
      <c r="U3" s="529"/>
      <c r="Z3" s="512"/>
      <c r="AA3" s="530"/>
      <c r="AB3" s="531"/>
      <c r="AC3" s="531"/>
      <c r="AD3" s="532"/>
      <c r="AE3" s="532"/>
      <c r="AF3" s="532"/>
      <c r="AG3" s="532"/>
      <c r="AH3" s="532"/>
      <c r="AI3" s="532"/>
      <c r="AJ3" s="532"/>
    </row>
    <row r="4" spans="2:36" ht="17.25" customHeight="1">
      <c r="B4" s="520"/>
      <c r="C4" s="735" t="s">
        <v>225</v>
      </c>
      <c r="D4" s="735"/>
      <c r="E4" s="735"/>
      <c r="F4" s="735"/>
      <c r="G4" s="735"/>
      <c r="H4" s="735"/>
      <c r="I4" s="735"/>
      <c r="J4" s="735"/>
      <c r="K4" s="735"/>
      <c r="L4" s="735"/>
      <c r="M4" s="735"/>
      <c r="N4" s="533"/>
      <c r="O4" s="534"/>
      <c r="P4" s="534"/>
      <c r="Q4" s="533"/>
      <c r="R4" s="533"/>
      <c r="S4" s="533"/>
      <c r="T4" s="533"/>
      <c r="U4" s="535"/>
      <c r="Z4" s="512"/>
      <c r="AA4" s="536"/>
      <c r="AB4" s="531"/>
      <c r="AC4" s="531"/>
      <c r="AD4" s="531"/>
      <c r="AE4" s="531"/>
      <c r="AF4" s="531"/>
      <c r="AG4" s="531"/>
      <c r="AH4" s="531"/>
      <c r="AI4" s="531"/>
      <c r="AJ4" s="531"/>
    </row>
    <row r="5" spans="2:36" ht="6" customHeight="1">
      <c r="B5" s="520"/>
      <c r="C5" s="537"/>
      <c r="D5" s="537"/>
      <c r="E5" s="537"/>
      <c r="F5" s="537"/>
      <c r="G5" s="537"/>
      <c r="H5" s="537"/>
      <c r="I5" s="537"/>
      <c r="J5" s="537"/>
      <c r="K5" s="537"/>
      <c r="L5" s="537"/>
      <c r="M5" s="537"/>
      <c r="N5" s="533"/>
      <c r="O5" s="534"/>
      <c r="P5" s="534"/>
      <c r="Q5" s="533"/>
      <c r="R5" s="533"/>
      <c r="S5" s="533"/>
      <c r="T5" s="533"/>
      <c r="U5" s="535"/>
      <c r="Z5" s="512"/>
      <c r="AA5" s="536"/>
      <c r="AB5" s="531"/>
      <c r="AC5" s="531"/>
      <c r="AD5" s="531"/>
      <c r="AE5" s="531"/>
      <c r="AF5" s="531"/>
      <c r="AG5" s="531"/>
      <c r="AH5" s="531"/>
      <c r="AI5" s="531"/>
      <c r="AJ5" s="531"/>
    </row>
    <row r="6" spans="2:36" ht="30" customHeight="1">
      <c r="B6" s="538"/>
      <c r="C6" s="681"/>
      <c r="D6" s="539" t="s">
        <v>303</v>
      </c>
      <c r="E6" s="539" t="s">
        <v>304</v>
      </c>
      <c r="F6" s="539" t="s">
        <v>229</v>
      </c>
      <c r="G6" s="116" t="s">
        <v>305</v>
      </c>
      <c r="H6" s="116" t="s">
        <v>231</v>
      </c>
      <c r="I6" s="116" t="s">
        <v>232</v>
      </c>
      <c r="J6" s="116" t="s">
        <v>233</v>
      </c>
      <c r="K6" s="116" t="s">
        <v>234</v>
      </c>
      <c r="L6" s="116" t="s">
        <v>235</v>
      </c>
      <c r="M6" s="116" t="s">
        <v>306</v>
      </c>
      <c r="N6" s="540"/>
      <c r="O6" s="541"/>
      <c r="P6" s="541"/>
      <c r="Q6" s="542" t="s">
        <v>305</v>
      </c>
      <c r="R6" s="542" t="s">
        <v>235</v>
      </c>
      <c r="S6" s="542" t="s">
        <v>307</v>
      </c>
      <c r="T6" s="542" t="s">
        <v>308</v>
      </c>
      <c r="V6" s="516"/>
      <c r="W6" s="543"/>
      <c r="X6" s="544" t="s">
        <v>309</v>
      </c>
      <c r="Z6" s="512"/>
      <c r="AA6" s="536"/>
      <c r="AB6" s="531"/>
      <c r="AC6" s="531"/>
      <c r="AD6" s="531"/>
      <c r="AE6" s="531"/>
      <c r="AF6" s="531"/>
      <c r="AG6" s="531"/>
      <c r="AH6" s="531"/>
      <c r="AI6" s="531"/>
      <c r="AJ6" s="531"/>
    </row>
    <row r="7" spans="2:36" ht="16.5" customHeight="1">
      <c r="B7" s="538"/>
      <c r="C7" s="179" t="s">
        <v>237</v>
      </c>
      <c r="D7" s="545">
        <v>6977</v>
      </c>
      <c r="E7" s="546">
        <v>1618</v>
      </c>
      <c r="F7" s="546">
        <v>5359</v>
      </c>
      <c r="G7" s="547">
        <v>2550</v>
      </c>
      <c r="H7" s="547">
        <v>421</v>
      </c>
      <c r="I7" s="547">
        <v>321</v>
      </c>
      <c r="J7" s="547">
        <v>1863</v>
      </c>
      <c r="K7" s="547">
        <v>519</v>
      </c>
      <c r="L7" s="547">
        <v>1089</v>
      </c>
      <c r="M7" s="547">
        <v>214</v>
      </c>
      <c r="N7" s="547"/>
      <c r="O7" s="548"/>
      <c r="P7" s="549"/>
      <c r="Q7" s="550">
        <f>G7/D7</f>
        <v>0.36548659882470974</v>
      </c>
      <c r="R7" s="550">
        <f>L7/D7</f>
        <v>0.15608427690984664</v>
      </c>
      <c r="S7" s="550"/>
      <c r="T7" s="550"/>
      <c r="V7" s="516" t="s">
        <v>237</v>
      </c>
      <c r="W7" s="543">
        <v>39356</v>
      </c>
      <c r="X7" s="551">
        <v>6977</v>
      </c>
      <c r="Z7" s="512"/>
      <c r="AA7" s="536"/>
      <c r="AB7" s="531"/>
      <c r="AC7" s="531"/>
      <c r="AD7" s="531"/>
      <c r="AE7" s="531"/>
      <c r="AF7" s="531"/>
      <c r="AG7" s="531"/>
      <c r="AH7" s="531"/>
      <c r="AI7" s="531"/>
      <c r="AJ7" s="531"/>
    </row>
    <row r="8" spans="2:36" ht="18.5" customHeight="1">
      <c r="B8" s="538"/>
      <c r="C8" s="179" t="s">
        <v>238</v>
      </c>
      <c r="D8" s="552">
        <v>7109</v>
      </c>
      <c r="E8" s="553">
        <v>1635</v>
      </c>
      <c r="F8" s="553">
        <v>5474</v>
      </c>
      <c r="G8" s="553">
        <v>2459</v>
      </c>
      <c r="H8" s="553">
        <v>464</v>
      </c>
      <c r="I8" s="553">
        <v>328</v>
      </c>
      <c r="J8" s="553">
        <v>1987</v>
      </c>
      <c r="K8" s="553">
        <v>509</v>
      </c>
      <c r="L8" s="553">
        <v>1161</v>
      </c>
      <c r="M8" s="553">
        <v>201</v>
      </c>
      <c r="N8" s="553"/>
      <c r="O8" s="554" t="s">
        <v>238</v>
      </c>
      <c r="Q8" s="550">
        <f t="shared" ref="Q8:Q59" si="0">G8/D8</f>
        <v>0.34589956393304261</v>
      </c>
      <c r="R8" s="550">
        <f>L8/D8</f>
        <v>0.16331410887607259</v>
      </c>
      <c r="S8" s="550"/>
      <c r="T8" s="550"/>
      <c r="U8" s="516" t="s">
        <v>238</v>
      </c>
      <c r="V8" s="516"/>
      <c r="W8" s="543">
        <v>39448</v>
      </c>
      <c r="X8" s="551">
        <v>7109</v>
      </c>
      <c r="Z8" s="512"/>
      <c r="AA8" s="536"/>
      <c r="AB8" s="531"/>
      <c r="AC8" s="531"/>
      <c r="AD8" s="531"/>
      <c r="AE8" s="531"/>
      <c r="AF8" s="531"/>
      <c r="AG8" s="531"/>
      <c r="AH8" s="531"/>
      <c r="AI8" s="531"/>
      <c r="AJ8" s="531"/>
    </row>
    <row r="9" spans="2:36">
      <c r="B9" s="538"/>
      <c r="C9" s="179" t="s">
        <v>239</v>
      </c>
      <c r="D9" s="552">
        <v>7105</v>
      </c>
      <c r="E9" s="553">
        <v>1740</v>
      </c>
      <c r="F9" s="553">
        <v>5365</v>
      </c>
      <c r="G9" s="553">
        <v>2413</v>
      </c>
      <c r="H9" s="553">
        <v>431</v>
      </c>
      <c r="I9" s="553">
        <v>270</v>
      </c>
      <c r="J9" s="553">
        <v>1976</v>
      </c>
      <c r="K9" s="553">
        <v>560</v>
      </c>
      <c r="L9" s="553">
        <v>1276</v>
      </c>
      <c r="M9" s="553">
        <v>179</v>
      </c>
      <c r="N9" s="553"/>
      <c r="P9" s="554"/>
      <c r="Q9" s="550">
        <f t="shared" si="0"/>
        <v>0.33961998592540465</v>
      </c>
      <c r="R9" s="550">
        <f t="shared" ref="R9:R60" si="1">L9/D9</f>
        <v>0.17959183673469387</v>
      </c>
      <c r="S9" s="550"/>
      <c r="T9" s="550"/>
      <c r="V9" s="516"/>
      <c r="W9" s="543">
        <v>39539</v>
      </c>
      <c r="X9" s="551">
        <v>7105</v>
      </c>
      <c r="Z9" s="512"/>
      <c r="AA9" s="530"/>
      <c r="AB9" s="531"/>
      <c r="AC9" s="531"/>
      <c r="AD9" s="532"/>
      <c r="AE9" s="532"/>
      <c r="AF9" s="532"/>
      <c r="AG9" s="532"/>
      <c r="AH9" s="532"/>
      <c r="AI9" s="532"/>
      <c r="AJ9" s="532"/>
    </row>
    <row r="10" spans="2:36">
      <c r="B10" s="538"/>
      <c r="C10" s="179" t="s">
        <v>240</v>
      </c>
      <c r="D10" s="552">
        <v>7284</v>
      </c>
      <c r="E10" s="553">
        <v>1753</v>
      </c>
      <c r="F10" s="553">
        <v>5531</v>
      </c>
      <c r="G10" s="553">
        <v>1947</v>
      </c>
      <c r="H10" s="553">
        <v>283</v>
      </c>
      <c r="I10" s="553">
        <v>264</v>
      </c>
      <c r="J10" s="553">
        <v>2116</v>
      </c>
      <c r="K10" s="553">
        <v>795</v>
      </c>
      <c r="L10" s="553">
        <v>1698</v>
      </c>
      <c r="M10" s="553">
        <v>181</v>
      </c>
      <c r="N10" s="553"/>
      <c r="P10" s="554"/>
      <c r="Q10" s="550">
        <f t="shared" si="0"/>
        <v>0.26729818780889619</v>
      </c>
      <c r="R10" s="550">
        <f t="shared" si="1"/>
        <v>0.23311367380560133</v>
      </c>
      <c r="S10" s="550"/>
      <c r="T10" s="550"/>
      <c r="V10" s="516"/>
      <c r="W10" s="543">
        <v>39630</v>
      </c>
      <c r="X10" s="551">
        <v>7284</v>
      </c>
      <c r="Z10" s="512"/>
      <c r="AA10" s="530"/>
      <c r="AB10" s="531"/>
      <c r="AC10" s="531"/>
      <c r="AD10" s="532"/>
      <c r="AE10" s="532"/>
      <c r="AF10" s="532"/>
      <c r="AG10" s="532"/>
      <c r="AH10" s="532"/>
      <c r="AI10" s="532"/>
      <c r="AJ10" s="532"/>
    </row>
    <row r="11" spans="2:36">
      <c r="B11" s="538"/>
      <c r="C11" s="179" t="s">
        <v>241</v>
      </c>
      <c r="D11" s="552">
        <v>6897</v>
      </c>
      <c r="E11" s="553">
        <v>1532</v>
      </c>
      <c r="F11" s="553">
        <v>5365</v>
      </c>
      <c r="G11" s="553">
        <v>1701</v>
      </c>
      <c r="H11" s="553">
        <v>240</v>
      </c>
      <c r="I11" s="553">
        <v>298</v>
      </c>
      <c r="J11" s="553">
        <v>2030</v>
      </c>
      <c r="K11" s="553">
        <v>784</v>
      </c>
      <c r="L11" s="553">
        <v>1599</v>
      </c>
      <c r="M11" s="553">
        <v>245</v>
      </c>
      <c r="N11" s="553"/>
      <c r="P11" s="554"/>
      <c r="Q11" s="550">
        <f t="shared" si="0"/>
        <v>0.24662896911700741</v>
      </c>
      <c r="R11" s="550">
        <f t="shared" si="1"/>
        <v>0.23183993040452372</v>
      </c>
      <c r="S11" s="550"/>
      <c r="T11" s="550"/>
      <c r="V11" s="516"/>
      <c r="W11" s="543">
        <v>39722</v>
      </c>
      <c r="X11" s="551">
        <v>6897</v>
      </c>
      <c r="Z11" s="512"/>
      <c r="AA11" s="530"/>
      <c r="AB11" s="531"/>
      <c r="AC11" s="531"/>
      <c r="AD11" s="532"/>
      <c r="AE11" s="532"/>
      <c r="AF11" s="532"/>
      <c r="AG11" s="532"/>
      <c r="AH11" s="532"/>
      <c r="AI11" s="532"/>
      <c r="AJ11" s="532"/>
    </row>
    <row r="12" spans="2:36" ht="14" customHeight="1">
      <c r="B12" s="538"/>
      <c r="C12" s="179" t="s">
        <v>242</v>
      </c>
      <c r="D12" s="545">
        <v>6726</v>
      </c>
      <c r="E12" s="546">
        <v>1422</v>
      </c>
      <c r="F12" s="546">
        <v>5304</v>
      </c>
      <c r="G12" s="547">
        <v>1599</v>
      </c>
      <c r="H12" s="547">
        <v>268</v>
      </c>
      <c r="I12" s="547">
        <v>269</v>
      </c>
      <c r="J12" s="547">
        <v>2034</v>
      </c>
      <c r="K12" s="547">
        <v>807</v>
      </c>
      <c r="L12" s="547">
        <v>1536</v>
      </c>
      <c r="M12" s="547">
        <v>213</v>
      </c>
      <c r="N12" s="547"/>
      <c r="P12" s="549" t="s">
        <v>242</v>
      </c>
      <c r="Q12" s="550">
        <f t="shared" si="0"/>
        <v>0.23773416592328278</v>
      </c>
      <c r="R12" s="550">
        <f t="shared" si="1"/>
        <v>0.22836752899197146</v>
      </c>
      <c r="S12" s="550"/>
      <c r="T12" s="550"/>
      <c r="V12" s="516" t="s">
        <v>242</v>
      </c>
      <c r="W12" s="543">
        <v>39814</v>
      </c>
      <c r="X12" s="551">
        <v>6726</v>
      </c>
      <c r="Z12" s="512"/>
      <c r="AA12" s="530"/>
      <c r="AB12" s="531"/>
      <c r="AC12" s="531"/>
      <c r="AD12" s="532"/>
      <c r="AE12" s="532"/>
      <c r="AF12" s="532"/>
      <c r="AG12" s="532"/>
      <c r="AH12" s="532"/>
      <c r="AI12" s="532"/>
      <c r="AJ12" s="532"/>
    </row>
    <row r="13" spans="2:36">
      <c r="B13" s="538"/>
      <c r="C13" s="179" t="s">
        <v>243</v>
      </c>
      <c r="D13" s="545">
        <v>6309</v>
      </c>
      <c r="E13" s="546">
        <v>1354</v>
      </c>
      <c r="F13" s="546">
        <v>4955</v>
      </c>
      <c r="G13" s="547">
        <v>1529</v>
      </c>
      <c r="H13" s="547">
        <v>239</v>
      </c>
      <c r="I13" s="547">
        <v>230</v>
      </c>
      <c r="J13" s="547">
        <v>1908</v>
      </c>
      <c r="K13" s="547">
        <v>813</v>
      </c>
      <c r="L13" s="547">
        <v>1377</v>
      </c>
      <c r="M13" s="547">
        <v>213</v>
      </c>
      <c r="N13" s="547"/>
      <c r="O13" s="548"/>
      <c r="P13" s="549"/>
      <c r="Q13" s="550">
        <f t="shared" si="0"/>
        <v>0.24235219527658899</v>
      </c>
      <c r="R13" s="550">
        <f t="shared" si="1"/>
        <v>0.21825962910128388</v>
      </c>
      <c r="S13" s="550"/>
      <c r="T13" s="550"/>
      <c r="V13" s="516"/>
      <c r="W13" s="543">
        <v>39904</v>
      </c>
      <c r="X13" s="551">
        <v>6309</v>
      </c>
      <c r="Z13" s="512"/>
      <c r="AA13" s="555"/>
      <c r="AB13" s="556"/>
      <c r="AC13" s="556"/>
      <c r="AD13" s="556"/>
      <c r="AE13" s="556"/>
      <c r="AF13" s="556"/>
      <c r="AG13" s="556"/>
      <c r="AH13" s="556"/>
      <c r="AI13" s="556"/>
      <c r="AJ13" s="556"/>
    </row>
    <row r="14" spans="2:36">
      <c r="B14" s="538"/>
      <c r="C14" s="179" t="s">
        <v>244</v>
      </c>
      <c r="D14" s="545">
        <v>6426</v>
      </c>
      <c r="E14" s="546">
        <v>1249</v>
      </c>
      <c r="F14" s="546">
        <v>5177</v>
      </c>
      <c r="G14" s="547">
        <v>1522</v>
      </c>
      <c r="H14" s="547">
        <v>248</v>
      </c>
      <c r="I14" s="547">
        <v>230</v>
      </c>
      <c r="J14" s="547">
        <v>1902</v>
      </c>
      <c r="K14" s="547">
        <v>867</v>
      </c>
      <c r="L14" s="547">
        <v>1424</v>
      </c>
      <c r="M14" s="547">
        <v>233</v>
      </c>
      <c r="N14" s="547"/>
      <c r="O14" s="548"/>
      <c r="P14" s="549"/>
      <c r="Q14" s="550">
        <f t="shared" si="0"/>
        <v>0.2368502956738251</v>
      </c>
      <c r="R14" s="550">
        <f t="shared" si="1"/>
        <v>0.22159975101151572</v>
      </c>
      <c r="S14" s="550"/>
      <c r="T14" s="550"/>
      <c r="V14" s="516"/>
      <c r="W14" s="543">
        <v>39995</v>
      </c>
      <c r="X14" s="551">
        <v>6426</v>
      </c>
      <c r="Z14" s="512"/>
      <c r="AA14" s="555"/>
      <c r="AB14" s="556"/>
      <c r="AC14" s="556"/>
      <c r="AD14" s="556"/>
      <c r="AE14" s="556"/>
      <c r="AF14" s="556"/>
      <c r="AG14" s="556"/>
      <c r="AH14" s="556"/>
      <c r="AI14" s="556"/>
      <c r="AJ14" s="556"/>
    </row>
    <row r="15" spans="2:36" ht="14.25" customHeight="1">
      <c r="B15" s="538"/>
      <c r="C15" s="179" t="s">
        <v>245</v>
      </c>
      <c r="D15" s="545">
        <v>5638</v>
      </c>
      <c r="E15" s="546">
        <v>1023</v>
      </c>
      <c r="F15" s="546">
        <v>4615</v>
      </c>
      <c r="G15" s="547">
        <v>1166</v>
      </c>
      <c r="H15" s="547">
        <v>207</v>
      </c>
      <c r="I15" s="547">
        <v>222</v>
      </c>
      <c r="J15" s="547">
        <v>1616</v>
      </c>
      <c r="K15" s="547">
        <v>799</v>
      </c>
      <c r="L15" s="547">
        <v>1394</v>
      </c>
      <c r="M15" s="547">
        <v>234</v>
      </c>
      <c r="N15" s="547"/>
      <c r="O15" s="548"/>
      <c r="P15" s="549"/>
      <c r="Q15" s="550">
        <f t="shared" si="0"/>
        <v>0.20681092586023411</v>
      </c>
      <c r="R15" s="550">
        <f t="shared" si="1"/>
        <v>0.24725079815537424</v>
      </c>
      <c r="S15" s="550"/>
      <c r="T15" s="550"/>
      <c r="V15" s="516"/>
      <c r="W15" s="543">
        <v>40087</v>
      </c>
      <c r="X15" s="551">
        <v>5638</v>
      </c>
      <c r="Z15" s="512"/>
      <c r="AA15" s="555"/>
      <c r="AB15" s="556"/>
      <c r="AC15" s="556"/>
      <c r="AD15" s="556"/>
      <c r="AE15" s="556"/>
      <c r="AF15" s="556"/>
      <c r="AG15" s="556"/>
      <c r="AH15" s="556"/>
      <c r="AI15" s="556"/>
      <c r="AJ15" s="556"/>
    </row>
    <row r="16" spans="2:36" ht="15.5" customHeight="1">
      <c r="B16" s="538"/>
      <c r="C16" s="179" t="s">
        <v>246</v>
      </c>
      <c r="D16" s="557">
        <v>5291</v>
      </c>
      <c r="E16" s="558">
        <v>1001</v>
      </c>
      <c r="F16" s="558">
        <v>4290</v>
      </c>
      <c r="G16" s="558">
        <v>1097</v>
      </c>
      <c r="H16" s="558">
        <v>221</v>
      </c>
      <c r="I16" s="558">
        <v>222</v>
      </c>
      <c r="J16" s="558">
        <v>1641</v>
      </c>
      <c r="K16" s="558">
        <v>698</v>
      </c>
      <c r="L16" s="558">
        <v>1227</v>
      </c>
      <c r="M16" s="558">
        <v>185</v>
      </c>
      <c r="N16" s="553"/>
      <c r="O16" s="554" t="s">
        <v>246</v>
      </c>
      <c r="Q16" s="550">
        <f t="shared" si="0"/>
        <v>0.20733320733320734</v>
      </c>
      <c r="R16" s="550">
        <f t="shared" si="1"/>
        <v>0.23190323190323189</v>
      </c>
      <c r="S16" s="550"/>
      <c r="T16" s="550"/>
      <c r="U16" s="516" t="s">
        <v>246</v>
      </c>
      <c r="V16" s="516"/>
      <c r="W16" s="543">
        <v>40179</v>
      </c>
      <c r="X16" s="557">
        <v>5291</v>
      </c>
      <c r="Z16" s="512"/>
      <c r="AA16" s="555"/>
      <c r="AB16" s="556"/>
      <c r="AC16" s="556"/>
      <c r="AD16" s="556"/>
      <c r="AE16" s="556"/>
      <c r="AF16" s="556"/>
      <c r="AG16" s="556"/>
      <c r="AH16" s="556"/>
      <c r="AI16" s="556"/>
      <c r="AJ16" s="556"/>
    </row>
    <row r="17" spans="2:36">
      <c r="B17" s="538"/>
      <c r="C17" s="179" t="s">
        <v>247</v>
      </c>
      <c r="D17" s="557">
        <v>5335</v>
      </c>
      <c r="E17" s="558">
        <v>1132</v>
      </c>
      <c r="F17" s="558">
        <v>4203</v>
      </c>
      <c r="G17" s="558">
        <v>1212</v>
      </c>
      <c r="H17" s="558">
        <v>235</v>
      </c>
      <c r="I17" s="558">
        <v>206</v>
      </c>
      <c r="J17" s="558">
        <v>1644</v>
      </c>
      <c r="K17" s="558">
        <v>661</v>
      </c>
      <c r="L17" s="558">
        <v>1159</v>
      </c>
      <c r="M17" s="558">
        <v>218</v>
      </c>
      <c r="N17" s="553"/>
      <c r="P17" s="554"/>
      <c r="Q17" s="550">
        <f t="shared" si="0"/>
        <v>0.22717900656044987</v>
      </c>
      <c r="R17" s="550">
        <f t="shared" si="1"/>
        <v>0.21724461105904405</v>
      </c>
      <c r="S17" s="550"/>
      <c r="T17" s="550"/>
      <c r="V17" s="516"/>
      <c r="W17" s="543">
        <v>40269</v>
      </c>
      <c r="X17" s="557">
        <v>5335</v>
      </c>
      <c r="Z17" s="512"/>
      <c r="AA17" s="555"/>
      <c r="AB17" s="556"/>
      <c r="AC17" s="556"/>
      <c r="AD17" s="556"/>
      <c r="AE17" s="556"/>
      <c r="AF17" s="556"/>
      <c r="AG17" s="556"/>
      <c r="AH17" s="556"/>
      <c r="AI17" s="556"/>
      <c r="AJ17" s="556"/>
    </row>
    <row r="18" spans="2:36">
      <c r="B18" s="538"/>
      <c r="C18" s="179" t="s">
        <v>248</v>
      </c>
      <c r="D18" s="557">
        <v>5588</v>
      </c>
      <c r="E18" s="558">
        <v>1063</v>
      </c>
      <c r="F18" s="558">
        <v>4525</v>
      </c>
      <c r="G18" s="558">
        <v>1205</v>
      </c>
      <c r="H18" s="558">
        <v>234</v>
      </c>
      <c r="I18" s="558">
        <v>226</v>
      </c>
      <c r="J18" s="558">
        <v>1788</v>
      </c>
      <c r="K18" s="558">
        <v>645</v>
      </c>
      <c r="L18" s="558">
        <v>1294</v>
      </c>
      <c r="M18" s="558">
        <v>196</v>
      </c>
      <c r="N18" s="553"/>
      <c r="P18" s="554"/>
      <c r="Q18" s="550">
        <f t="shared" si="0"/>
        <v>0.21564065855404438</v>
      </c>
      <c r="R18" s="550">
        <f t="shared" si="1"/>
        <v>0.23156764495347174</v>
      </c>
      <c r="S18" s="550"/>
      <c r="T18" s="550"/>
      <c r="V18" s="516"/>
      <c r="W18" s="543">
        <v>40360</v>
      </c>
      <c r="X18" s="557">
        <v>5588</v>
      </c>
      <c r="Z18" s="512"/>
      <c r="AA18" s="555"/>
      <c r="AB18" s="556"/>
      <c r="AC18" s="556"/>
      <c r="AD18" s="556"/>
      <c r="AE18" s="556"/>
      <c r="AF18" s="556"/>
      <c r="AG18" s="556"/>
      <c r="AH18" s="556"/>
      <c r="AI18" s="556"/>
      <c r="AJ18" s="556"/>
    </row>
    <row r="19" spans="2:36">
      <c r="B19" s="538"/>
      <c r="C19" s="179" t="s">
        <v>249</v>
      </c>
      <c r="D19" s="557">
        <v>5110</v>
      </c>
      <c r="E19" s="558">
        <v>913</v>
      </c>
      <c r="F19" s="558">
        <v>4196</v>
      </c>
      <c r="G19" s="558">
        <v>1036</v>
      </c>
      <c r="H19" s="558">
        <v>203</v>
      </c>
      <c r="I19" s="558">
        <v>241</v>
      </c>
      <c r="J19" s="558">
        <v>1578</v>
      </c>
      <c r="K19" s="558">
        <v>627</v>
      </c>
      <c r="L19" s="558">
        <v>1202</v>
      </c>
      <c r="M19" s="558">
        <v>223</v>
      </c>
      <c r="N19" s="553"/>
      <c r="P19" s="554"/>
      <c r="Q19" s="550">
        <f t="shared" si="0"/>
        <v>0.20273972602739726</v>
      </c>
      <c r="R19" s="550">
        <f t="shared" si="1"/>
        <v>0.23522504892367907</v>
      </c>
      <c r="S19" s="550"/>
      <c r="T19" s="550"/>
      <c r="V19" s="516"/>
      <c r="W19" s="543">
        <v>40452</v>
      </c>
      <c r="X19" s="557">
        <v>5110</v>
      </c>
      <c r="Z19" s="512"/>
      <c r="AA19" s="555"/>
      <c r="AB19" s="556"/>
      <c r="AC19" s="556"/>
      <c r="AD19" s="556"/>
      <c r="AE19" s="556"/>
      <c r="AF19" s="556"/>
      <c r="AG19" s="556"/>
      <c r="AH19" s="556"/>
      <c r="AI19" s="556"/>
      <c r="AJ19" s="556"/>
    </row>
    <row r="20" spans="2:36" ht="19.5" customHeight="1">
      <c r="B20" s="538"/>
      <c r="C20" s="179" t="s">
        <v>250</v>
      </c>
      <c r="D20" s="559">
        <v>5238</v>
      </c>
      <c r="E20" s="558">
        <v>993</v>
      </c>
      <c r="F20" s="558">
        <v>4240</v>
      </c>
      <c r="G20" s="558">
        <v>1091</v>
      </c>
      <c r="H20" s="558">
        <v>217</v>
      </c>
      <c r="I20" s="558">
        <v>215</v>
      </c>
      <c r="J20" s="558">
        <v>1636</v>
      </c>
      <c r="K20" s="558">
        <v>594</v>
      </c>
      <c r="L20" s="558">
        <v>1274</v>
      </c>
      <c r="M20" s="558">
        <v>211</v>
      </c>
      <c r="N20" s="547"/>
      <c r="P20" s="549" t="s">
        <v>250</v>
      </c>
      <c r="Q20" s="550">
        <f t="shared" si="0"/>
        <v>0.20828560519282169</v>
      </c>
      <c r="R20" s="550">
        <f t="shared" si="1"/>
        <v>0.2432226040473463</v>
      </c>
      <c r="S20" s="550"/>
      <c r="T20" s="550"/>
      <c r="V20" s="516" t="s">
        <v>250</v>
      </c>
      <c r="W20" s="543">
        <v>40544</v>
      </c>
      <c r="X20" s="557">
        <v>5238</v>
      </c>
      <c r="Z20" s="512"/>
      <c r="AA20" s="555"/>
      <c r="AB20" s="556"/>
      <c r="AC20" s="556"/>
      <c r="AD20" s="556"/>
      <c r="AE20" s="556"/>
      <c r="AF20" s="556"/>
      <c r="AG20" s="556"/>
      <c r="AH20" s="556"/>
      <c r="AI20" s="556"/>
      <c r="AJ20" s="556"/>
    </row>
    <row r="21" spans="2:36">
      <c r="B21" s="538"/>
      <c r="C21" s="179" t="s">
        <v>251</v>
      </c>
      <c r="D21" s="559">
        <v>5147</v>
      </c>
      <c r="E21" s="558">
        <v>979</v>
      </c>
      <c r="F21" s="558">
        <v>4167</v>
      </c>
      <c r="G21" s="558">
        <v>1156</v>
      </c>
      <c r="H21" s="558">
        <v>184</v>
      </c>
      <c r="I21" s="558">
        <v>227</v>
      </c>
      <c r="J21" s="558">
        <v>1551</v>
      </c>
      <c r="K21" s="558">
        <v>567</v>
      </c>
      <c r="L21" s="558">
        <v>1275</v>
      </c>
      <c r="M21" s="558">
        <v>187</v>
      </c>
      <c r="N21" s="547"/>
      <c r="O21" s="548"/>
      <c r="P21" s="549"/>
      <c r="Q21" s="550">
        <f t="shared" si="0"/>
        <v>0.22459685253545755</v>
      </c>
      <c r="R21" s="550">
        <f t="shared" si="1"/>
        <v>0.24771711676704877</v>
      </c>
      <c r="S21" s="550"/>
      <c r="T21" s="550"/>
      <c r="V21" s="516"/>
      <c r="W21" s="543">
        <v>40634</v>
      </c>
      <c r="X21" s="557">
        <v>5147</v>
      </c>
      <c r="Z21" s="512"/>
      <c r="AA21" s="555"/>
      <c r="AB21" s="556"/>
      <c r="AC21" s="556"/>
      <c r="AD21" s="556"/>
      <c r="AE21" s="556"/>
      <c r="AF21" s="556"/>
      <c r="AG21" s="556"/>
      <c r="AH21" s="556"/>
      <c r="AI21" s="556"/>
      <c r="AJ21" s="556"/>
    </row>
    <row r="22" spans="2:36">
      <c r="B22" s="538"/>
      <c r="C22" s="179" t="s">
        <v>252</v>
      </c>
      <c r="D22" s="559">
        <v>5438</v>
      </c>
      <c r="E22" s="558">
        <v>918</v>
      </c>
      <c r="F22" s="558">
        <v>4519</v>
      </c>
      <c r="G22" s="558">
        <v>1048</v>
      </c>
      <c r="H22" s="558">
        <v>212</v>
      </c>
      <c r="I22" s="558">
        <v>245</v>
      </c>
      <c r="J22" s="558">
        <v>1654</v>
      </c>
      <c r="K22" s="558">
        <v>674</v>
      </c>
      <c r="L22" s="558">
        <v>1404</v>
      </c>
      <c r="M22" s="558">
        <v>201</v>
      </c>
      <c r="N22" s="547"/>
      <c r="O22" s="548"/>
      <c r="P22" s="549"/>
      <c r="Q22" s="550">
        <f t="shared" si="0"/>
        <v>0.19271791099668997</v>
      </c>
      <c r="R22" s="550">
        <f t="shared" si="1"/>
        <v>0.25818315557190141</v>
      </c>
      <c r="S22" s="550"/>
      <c r="T22" s="550"/>
      <c r="V22" s="516"/>
      <c r="W22" s="543">
        <v>40725</v>
      </c>
      <c r="X22" s="557">
        <v>5438</v>
      </c>
      <c r="Z22" s="512"/>
      <c r="AA22" s="555"/>
      <c r="AB22" s="556"/>
      <c r="AC22" s="556"/>
      <c r="AD22" s="556"/>
      <c r="AE22" s="556"/>
      <c r="AF22" s="556"/>
      <c r="AG22" s="556"/>
      <c r="AH22" s="556"/>
      <c r="AI22" s="556"/>
      <c r="AJ22" s="556"/>
    </row>
    <row r="23" spans="2:36">
      <c r="B23" s="538"/>
      <c r="C23" s="179" t="s">
        <v>253</v>
      </c>
      <c r="D23" s="559">
        <v>4768</v>
      </c>
      <c r="E23" s="558">
        <v>846</v>
      </c>
      <c r="F23" s="558">
        <v>3920</v>
      </c>
      <c r="G23" s="558">
        <v>861</v>
      </c>
      <c r="H23" s="558">
        <v>158</v>
      </c>
      <c r="I23" s="558">
        <v>197</v>
      </c>
      <c r="J23" s="558">
        <v>1381</v>
      </c>
      <c r="K23" s="558">
        <v>576</v>
      </c>
      <c r="L23" s="558">
        <v>1391</v>
      </c>
      <c r="M23" s="558">
        <v>204</v>
      </c>
      <c r="N23" s="547"/>
      <c r="O23" s="548"/>
      <c r="P23" s="549"/>
      <c r="Q23" s="550">
        <f t="shared" si="0"/>
        <v>0.18057885906040269</v>
      </c>
      <c r="R23" s="550">
        <f t="shared" si="1"/>
        <v>0.29173657718120805</v>
      </c>
      <c r="S23" s="550"/>
      <c r="T23" s="550"/>
      <c r="V23" s="516"/>
      <c r="W23" s="543">
        <v>40817</v>
      </c>
      <c r="X23" s="557">
        <v>4768</v>
      </c>
      <c r="Z23" s="512"/>
      <c r="AA23" s="555"/>
      <c r="AB23" s="556"/>
      <c r="AC23" s="556"/>
      <c r="AD23" s="556"/>
      <c r="AE23" s="556"/>
      <c r="AF23" s="556"/>
      <c r="AG23" s="556"/>
      <c r="AH23" s="556"/>
      <c r="AI23" s="556"/>
      <c r="AJ23" s="556"/>
    </row>
    <row r="24" spans="2:36" ht="19.5" customHeight="1">
      <c r="B24" s="538"/>
      <c r="C24" s="179" t="s">
        <v>254</v>
      </c>
      <c r="D24" s="559">
        <v>4806</v>
      </c>
      <c r="E24" s="558">
        <v>844</v>
      </c>
      <c r="F24" s="558">
        <v>3962</v>
      </c>
      <c r="G24" s="558">
        <v>919</v>
      </c>
      <c r="H24" s="558">
        <v>171</v>
      </c>
      <c r="I24" s="558">
        <v>205</v>
      </c>
      <c r="J24" s="558">
        <v>1405</v>
      </c>
      <c r="K24" s="558">
        <v>617</v>
      </c>
      <c r="L24" s="558">
        <v>1297</v>
      </c>
      <c r="M24" s="558">
        <v>192</v>
      </c>
      <c r="N24" s="553"/>
      <c r="O24" s="554" t="s">
        <v>254</v>
      </c>
      <c r="Q24" s="550">
        <f t="shared" si="0"/>
        <v>0.1912193091968373</v>
      </c>
      <c r="R24" s="550">
        <f t="shared" si="1"/>
        <v>0.26987099459009573</v>
      </c>
      <c r="S24" s="550"/>
      <c r="T24" s="550"/>
      <c r="U24" s="516" t="s">
        <v>254</v>
      </c>
      <c r="V24" s="516"/>
      <c r="W24" s="543">
        <v>40909</v>
      </c>
      <c r="X24" s="557">
        <v>4806</v>
      </c>
      <c r="Z24" s="512"/>
      <c r="AA24" s="555"/>
      <c r="AB24" s="556"/>
      <c r="AC24" s="556"/>
      <c r="AD24" s="556"/>
      <c r="AE24" s="556"/>
      <c r="AF24" s="556"/>
      <c r="AG24" s="556"/>
      <c r="AH24" s="556"/>
      <c r="AI24" s="556"/>
      <c r="AJ24" s="556"/>
    </row>
    <row r="25" spans="2:36">
      <c r="B25" s="538"/>
      <c r="C25" s="179" t="s">
        <v>255</v>
      </c>
      <c r="D25" s="559">
        <v>4271</v>
      </c>
      <c r="E25" s="558">
        <v>735</v>
      </c>
      <c r="F25" s="558">
        <v>3535</v>
      </c>
      <c r="G25" s="558">
        <v>915</v>
      </c>
      <c r="H25" s="558">
        <v>135</v>
      </c>
      <c r="I25" s="558">
        <v>189</v>
      </c>
      <c r="J25" s="558">
        <v>1164</v>
      </c>
      <c r="K25" s="558">
        <v>522</v>
      </c>
      <c r="L25" s="558">
        <v>1175</v>
      </c>
      <c r="M25" s="558">
        <v>171</v>
      </c>
      <c r="N25" s="553"/>
      <c r="P25" s="554"/>
      <c r="Q25" s="550">
        <f t="shared" si="0"/>
        <v>0.21423554202762818</v>
      </c>
      <c r="R25" s="550">
        <f t="shared" si="1"/>
        <v>0.27511121517209086</v>
      </c>
      <c r="S25" s="550"/>
      <c r="T25" s="550"/>
      <c r="V25" s="516"/>
      <c r="W25" s="543">
        <v>41000</v>
      </c>
      <c r="X25" s="557">
        <v>4271</v>
      </c>
      <c r="Z25" s="512"/>
      <c r="AA25" s="555"/>
      <c r="AB25" s="556"/>
      <c r="AC25" s="556"/>
      <c r="AD25" s="556"/>
      <c r="AE25" s="556"/>
      <c r="AF25" s="556"/>
      <c r="AG25" s="556"/>
      <c r="AH25" s="556"/>
      <c r="AI25" s="556"/>
      <c r="AJ25" s="556"/>
    </row>
    <row r="26" spans="2:36">
      <c r="B26" s="538"/>
      <c r="C26" s="179" t="s">
        <v>256</v>
      </c>
      <c r="D26" s="559">
        <v>4451</v>
      </c>
      <c r="E26" s="558">
        <v>700</v>
      </c>
      <c r="F26" s="558">
        <v>3751</v>
      </c>
      <c r="G26" s="558">
        <v>864</v>
      </c>
      <c r="H26" s="558">
        <v>174</v>
      </c>
      <c r="I26" s="558">
        <v>190</v>
      </c>
      <c r="J26" s="558">
        <v>1206</v>
      </c>
      <c r="K26" s="558">
        <v>571</v>
      </c>
      <c r="L26" s="558">
        <v>1244</v>
      </c>
      <c r="M26" s="558">
        <v>201</v>
      </c>
      <c r="N26" s="553"/>
      <c r="P26" s="554"/>
      <c r="Q26" s="550">
        <f t="shared" si="0"/>
        <v>0.19411368231858009</v>
      </c>
      <c r="R26" s="550">
        <f t="shared" si="1"/>
        <v>0.27948775556054817</v>
      </c>
      <c r="S26" s="550"/>
      <c r="T26" s="550"/>
      <c r="V26" s="516"/>
      <c r="W26" s="543">
        <v>41091</v>
      </c>
      <c r="X26" s="557">
        <v>4451</v>
      </c>
      <c r="Z26" s="512"/>
      <c r="AA26" s="555"/>
      <c r="AB26" s="556"/>
      <c r="AC26" s="556"/>
      <c r="AD26" s="556"/>
      <c r="AE26" s="556"/>
      <c r="AF26" s="556"/>
      <c r="AG26" s="556"/>
      <c r="AH26" s="556"/>
      <c r="AI26" s="556"/>
      <c r="AJ26" s="556"/>
    </row>
    <row r="27" spans="2:36" ht="19.5" customHeight="1">
      <c r="B27" s="538"/>
      <c r="C27" s="179" t="s">
        <v>257</v>
      </c>
      <c r="D27" s="559">
        <v>3976</v>
      </c>
      <c r="E27" s="558">
        <v>666</v>
      </c>
      <c r="F27" s="558">
        <v>3309</v>
      </c>
      <c r="G27" s="558">
        <v>771</v>
      </c>
      <c r="H27" s="558">
        <v>115</v>
      </c>
      <c r="I27" s="558">
        <v>151</v>
      </c>
      <c r="J27" s="558">
        <v>1113</v>
      </c>
      <c r="K27" s="558">
        <v>541</v>
      </c>
      <c r="L27" s="558">
        <v>1119</v>
      </c>
      <c r="M27" s="558">
        <v>166</v>
      </c>
      <c r="N27" s="553"/>
      <c r="P27" s="554"/>
      <c r="Q27" s="550">
        <f t="shared" si="0"/>
        <v>0.19391348088531188</v>
      </c>
      <c r="R27" s="550">
        <f t="shared" si="1"/>
        <v>0.28143863179074446</v>
      </c>
      <c r="S27" s="550"/>
      <c r="T27" s="550"/>
      <c r="V27" s="516"/>
      <c r="W27" s="543">
        <v>41183</v>
      </c>
      <c r="X27" s="557">
        <v>3976</v>
      </c>
      <c r="Z27" s="512"/>
      <c r="AA27" s="555"/>
      <c r="AB27" s="556"/>
      <c r="AC27" s="556"/>
      <c r="AD27" s="556"/>
      <c r="AE27" s="556"/>
      <c r="AF27" s="556"/>
      <c r="AG27" s="556"/>
      <c r="AH27" s="556"/>
      <c r="AI27" s="556"/>
      <c r="AJ27" s="556"/>
    </row>
    <row r="28" spans="2:36" ht="16">
      <c r="B28" s="538"/>
      <c r="C28" s="179" t="s">
        <v>258</v>
      </c>
      <c r="D28" s="559">
        <v>3829</v>
      </c>
      <c r="E28" s="558">
        <v>627</v>
      </c>
      <c r="F28" s="558">
        <v>3183</v>
      </c>
      <c r="G28" s="558">
        <v>688</v>
      </c>
      <c r="H28" s="558">
        <v>138</v>
      </c>
      <c r="I28" s="558">
        <v>177</v>
      </c>
      <c r="J28" s="558">
        <v>1028</v>
      </c>
      <c r="K28" s="558">
        <v>579</v>
      </c>
      <c r="L28" s="558">
        <v>1073</v>
      </c>
      <c r="M28" s="558">
        <v>146</v>
      </c>
      <c r="N28" s="547"/>
      <c r="P28" s="549" t="s">
        <v>310</v>
      </c>
      <c r="Q28" s="550">
        <f t="shared" si="0"/>
        <v>0.17968137895011752</v>
      </c>
      <c r="R28" s="550">
        <f t="shared" si="1"/>
        <v>0.28022982501958738</v>
      </c>
      <c r="S28" s="550"/>
      <c r="T28" s="550"/>
      <c r="V28" s="516" t="s">
        <v>310</v>
      </c>
      <c r="W28" s="543">
        <v>41275</v>
      </c>
      <c r="X28" s="557">
        <v>3829</v>
      </c>
      <c r="Z28" s="512"/>
      <c r="AA28" s="555"/>
      <c r="AB28" s="556"/>
      <c r="AC28" s="556"/>
      <c r="AD28" s="556"/>
      <c r="AE28" s="556"/>
      <c r="AF28" s="556"/>
      <c r="AG28" s="556"/>
      <c r="AH28" s="556"/>
      <c r="AI28" s="556"/>
      <c r="AJ28" s="556"/>
    </row>
    <row r="29" spans="2:36">
      <c r="B29" s="538"/>
      <c r="C29" s="179" t="s">
        <v>259</v>
      </c>
      <c r="D29" s="559">
        <v>4060</v>
      </c>
      <c r="E29" s="558">
        <v>647</v>
      </c>
      <c r="F29" s="558">
        <v>3368</v>
      </c>
      <c r="G29" s="558">
        <v>700</v>
      </c>
      <c r="H29" s="558">
        <v>116</v>
      </c>
      <c r="I29" s="558">
        <v>189</v>
      </c>
      <c r="J29" s="558">
        <v>1121</v>
      </c>
      <c r="K29" s="558">
        <v>621</v>
      </c>
      <c r="L29" s="558">
        <v>1136</v>
      </c>
      <c r="M29" s="558">
        <v>177</v>
      </c>
      <c r="N29" s="547"/>
      <c r="O29" s="548"/>
      <c r="P29" s="549"/>
      <c r="Q29" s="550">
        <f t="shared" si="0"/>
        <v>0.17241379310344829</v>
      </c>
      <c r="R29" s="550">
        <f t="shared" si="1"/>
        <v>0.27980295566502461</v>
      </c>
      <c r="S29" s="550"/>
      <c r="T29" s="550"/>
      <c r="V29" s="516"/>
      <c r="W29" s="543">
        <v>41365</v>
      </c>
      <c r="X29" s="557">
        <v>4060</v>
      </c>
      <c r="Z29" s="512"/>
      <c r="AA29" s="555"/>
      <c r="AB29" s="556"/>
      <c r="AC29" s="556"/>
      <c r="AD29" s="556"/>
      <c r="AE29" s="556"/>
      <c r="AF29" s="556"/>
      <c r="AG29" s="556"/>
      <c r="AH29" s="556"/>
      <c r="AI29" s="556"/>
      <c r="AJ29" s="556"/>
    </row>
    <row r="30" spans="2:36">
      <c r="B30" s="538"/>
      <c r="C30" s="179" t="s">
        <v>260</v>
      </c>
      <c r="D30" s="559">
        <v>4369</v>
      </c>
      <c r="E30" s="558">
        <v>664</v>
      </c>
      <c r="F30" s="558">
        <v>3646</v>
      </c>
      <c r="G30" s="558">
        <v>774</v>
      </c>
      <c r="H30" s="558">
        <v>153</v>
      </c>
      <c r="I30" s="558">
        <v>191</v>
      </c>
      <c r="J30" s="558">
        <v>1146</v>
      </c>
      <c r="K30" s="558">
        <v>663</v>
      </c>
      <c r="L30" s="558">
        <v>1260</v>
      </c>
      <c r="M30" s="558">
        <v>182</v>
      </c>
      <c r="N30" s="547"/>
      <c r="O30" s="548"/>
      <c r="P30" s="549"/>
      <c r="Q30" s="550">
        <f t="shared" si="0"/>
        <v>0.17715724422064547</v>
      </c>
      <c r="R30" s="550">
        <f t="shared" si="1"/>
        <v>0.28839551384756235</v>
      </c>
      <c r="S30" s="550"/>
      <c r="T30" s="550"/>
      <c r="V30" s="516"/>
      <c r="W30" s="543">
        <v>41456</v>
      </c>
      <c r="X30" s="557">
        <v>4369</v>
      </c>
      <c r="Z30" s="512"/>
      <c r="AA30" s="555"/>
      <c r="AB30" s="556"/>
      <c r="AC30" s="556"/>
      <c r="AD30" s="556"/>
      <c r="AE30" s="556"/>
      <c r="AF30" s="556"/>
      <c r="AG30" s="556"/>
      <c r="AH30" s="556"/>
      <c r="AI30" s="556"/>
      <c r="AJ30" s="556"/>
    </row>
    <row r="31" spans="2:36">
      <c r="B31" s="538"/>
      <c r="C31" s="179" t="s">
        <v>261</v>
      </c>
      <c r="D31" s="559">
        <v>4002</v>
      </c>
      <c r="E31" s="558">
        <v>644</v>
      </c>
      <c r="F31" s="558">
        <v>3288</v>
      </c>
      <c r="G31" s="558">
        <v>592</v>
      </c>
      <c r="H31" s="558">
        <v>130</v>
      </c>
      <c r="I31" s="558">
        <v>202</v>
      </c>
      <c r="J31" s="558">
        <v>1103</v>
      </c>
      <c r="K31" s="558">
        <v>635</v>
      </c>
      <c r="L31" s="558">
        <v>1146</v>
      </c>
      <c r="M31" s="558">
        <v>194</v>
      </c>
      <c r="N31" s="547"/>
      <c r="O31" s="548"/>
      <c r="P31" s="549"/>
      <c r="Q31" s="550">
        <f t="shared" si="0"/>
        <v>0.14792603698150925</v>
      </c>
      <c r="R31" s="550">
        <f t="shared" si="1"/>
        <v>0.28635682158920539</v>
      </c>
      <c r="S31" s="550"/>
      <c r="T31" s="550"/>
      <c r="V31" s="516"/>
      <c r="W31" s="543">
        <v>41548</v>
      </c>
      <c r="X31" s="557">
        <v>4002</v>
      </c>
      <c r="Z31" s="456"/>
      <c r="AA31" s="555"/>
      <c r="AB31" s="556"/>
      <c r="AC31" s="556"/>
      <c r="AD31" s="556"/>
      <c r="AE31" s="556"/>
      <c r="AF31" s="556"/>
      <c r="AG31" s="556"/>
      <c r="AH31" s="556"/>
      <c r="AI31" s="556"/>
      <c r="AJ31" s="556"/>
    </row>
    <row r="32" spans="2:36" ht="19.5" customHeight="1">
      <c r="B32" s="538"/>
      <c r="C32" s="179" t="s">
        <v>262</v>
      </c>
      <c r="D32" s="559">
        <v>4000</v>
      </c>
      <c r="E32" s="558">
        <v>650</v>
      </c>
      <c r="F32" s="558">
        <v>3267</v>
      </c>
      <c r="G32" s="558">
        <v>559</v>
      </c>
      <c r="H32" s="558">
        <v>156</v>
      </c>
      <c r="I32" s="558">
        <v>163</v>
      </c>
      <c r="J32" s="558">
        <v>1152</v>
      </c>
      <c r="K32" s="558">
        <v>636</v>
      </c>
      <c r="L32" s="558">
        <v>1176</v>
      </c>
      <c r="M32" s="558">
        <v>158</v>
      </c>
      <c r="N32" s="553"/>
      <c r="O32" s="554" t="s">
        <v>262</v>
      </c>
      <c r="Q32" s="550">
        <f t="shared" si="0"/>
        <v>0.13975000000000001</v>
      </c>
      <c r="R32" s="550">
        <f t="shared" si="1"/>
        <v>0.29399999999999998</v>
      </c>
      <c r="S32" s="550"/>
      <c r="T32" s="550"/>
      <c r="U32" s="516" t="s">
        <v>262</v>
      </c>
      <c r="V32" s="516"/>
      <c r="W32" s="543">
        <v>41640</v>
      </c>
      <c r="X32" s="557">
        <v>4000</v>
      </c>
      <c r="Z32" s="456"/>
      <c r="AA32" s="555"/>
      <c r="AB32" s="556"/>
      <c r="AC32" s="556"/>
      <c r="AD32" s="556"/>
      <c r="AE32" s="556"/>
      <c r="AF32" s="556"/>
      <c r="AG32" s="556"/>
      <c r="AH32" s="556"/>
      <c r="AI32" s="556"/>
      <c r="AJ32" s="556"/>
    </row>
    <row r="33" spans="2:36">
      <c r="B33" s="538"/>
      <c r="C33" s="179" t="s">
        <v>263</v>
      </c>
      <c r="D33" s="559">
        <v>3974</v>
      </c>
      <c r="E33" s="558">
        <v>701</v>
      </c>
      <c r="F33" s="558">
        <v>3165</v>
      </c>
      <c r="G33" s="558">
        <v>628</v>
      </c>
      <c r="H33" s="558">
        <v>124</v>
      </c>
      <c r="I33" s="558">
        <v>202</v>
      </c>
      <c r="J33" s="558">
        <v>1042</v>
      </c>
      <c r="K33" s="558">
        <v>613</v>
      </c>
      <c r="L33" s="558">
        <v>1196</v>
      </c>
      <c r="M33" s="558">
        <v>169</v>
      </c>
      <c r="N33" s="553"/>
      <c r="P33" s="554"/>
      <c r="Q33" s="550">
        <f t="shared" si="0"/>
        <v>0.15802717664821339</v>
      </c>
      <c r="R33" s="550">
        <f t="shared" si="1"/>
        <v>0.30095621540010065</v>
      </c>
      <c r="S33" s="550"/>
      <c r="T33" s="550"/>
      <c r="V33" s="516"/>
      <c r="W33" s="543">
        <v>41730</v>
      </c>
      <c r="X33" s="557">
        <v>3974</v>
      </c>
      <c r="Z33" s="456"/>
      <c r="AA33" s="555"/>
      <c r="AB33" s="556"/>
      <c r="AC33" s="556"/>
      <c r="AD33" s="556"/>
      <c r="AE33" s="556"/>
      <c r="AF33" s="556"/>
      <c r="AG33" s="556"/>
      <c r="AH33" s="556"/>
      <c r="AI33" s="556"/>
      <c r="AJ33" s="556"/>
    </row>
    <row r="34" spans="2:36">
      <c r="B34" s="538"/>
      <c r="C34" s="179" t="s">
        <v>264</v>
      </c>
      <c r="D34" s="559">
        <v>4248</v>
      </c>
      <c r="E34" s="558">
        <v>751</v>
      </c>
      <c r="F34" s="558">
        <v>3383</v>
      </c>
      <c r="G34" s="558">
        <v>635</v>
      </c>
      <c r="H34" s="558">
        <v>131</v>
      </c>
      <c r="I34" s="558">
        <v>191</v>
      </c>
      <c r="J34" s="558">
        <v>1122</v>
      </c>
      <c r="K34" s="558">
        <v>702</v>
      </c>
      <c r="L34" s="558">
        <v>1277</v>
      </c>
      <c r="M34" s="558">
        <v>190</v>
      </c>
      <c r="N34" s="553"/>
      <c r="P34" s="554"/>
      <c r="Q34" s="550">
        <f t="shared" si="0"/>
        <v>0.14948210922787195</v>
      </c>
      <c r="R34" s="550">
        <f t="shared" si="1"/>
        <v>0.3006120527306968</v>
      </c>
      <c r="S34" s="550"/>
      <c r="T34" s="550"/>
      <c r="V34" s="516"/>
      <c r="W34" s="543">
        <v>41821</v>
      </c>
      <c r="X34" s="557">
        <v>4248</v>
      </c>
      <c r="Z34" s="456"/>
      <c r="AA34" s="555"/>
      <c r="AB34" s="556"/>
      <c r="AC34" s="556"/>
      <c r="AD34" s="556"/>
      <c r="AE34" s="556"/>
      <c r="AF34" s="556"/>
      <c r="AG34" s="556"/>
      <c r="AH34" s="556"/>
      <c r="AI34" s="556"/>
      <c r="AJ34" s="556"/>
    </row>
    <row r="35" spans="2:36">
      <c r="B35" s="538"/>
      <c r="C35" s="179" t="s">
        <v>265</v>
      </c>
      <c r="D35" s="559">
        <v>4090</v>
      </c>
      <c r="E35" s="558">
        <v>739</v>
      </c>
      <c r="F35" s="558">
        <v>3224</v>
      </c>
      <c r="G35" s="558">
        <v>621</v>
      </c>
      <c r="H35" s="558">
        <v>107</v>
      </c>
      <c r="I35" s="558">
        <v>197</v>
      </c>
      <c r="J35" s="558">
        <v>1083</v>
      </c>
      <c r="K35" s="558">
        <v>743</v>
      </c>
      <c r="L35" s="558">
        <v>1174</v>
      </c>
      <c r="M35" s="558">
        <v>165</v>
      </c>
      <c r="N35" s="553"/>
      <c r="P35" s="554"/>
      <c r="Q35" s="550">
        <f t="shared" si="0"/>
        <v>0.15183374083129583</v>
      </c>
      <c r="R35" s="550">
        <f t="shared" si="1"/>
        <v>0.28704156479217602</v>
      </c>
      <c r="S35" s="550"/>
      <c r="T35" s="550"/>
      <c r="V35" s="516"/>
      <c r="W35" s="543">
        <v>41913</v>
      </c>
      <c r="X35" s="557">
        <v>4090</v>
      </c>
      <c r="Z35" s="456"/>
      <c r="AA35" s="555"/>
      <c r="AB35" s="556"/>
      <c r="AC35" s="556"/>
      <c r="AD35" s="556"/>
      <c r="AE35" s="556"/>
      <c r="AF35" s="556"/>
      <c r="AG35" s="556"/>
      <c r="AH35" s="556"/>
      <c r="AI35" s="556"/>
      <c r="AJ35" s="556"/>
    </row>
    <row r="36" spans="2:36" ht="19.5" customHeight="1">
      <c r="B36" s="538"/>
      <c r="C36" s="179" t="s">
        <v>266</v>
      </c>
      <c r="D36" s="559">
        <v>4134</v>
      </c>
      <c r="E36" s="558">
        <v>734</v>
      </c>
      <c r="F36" s="558">
        <v>3270</v>
      </c>
      <c r="G36" s="558">
        <v>534</v>
      </c>
      <c r="H36" s="558">
        <v>138</v>
      </c>
      <c r="I36" s="558">
        <v>185</v>
      </c>
      <c r="J36" s="558">
        <v>1056</v>
      </c>
      <c r="K36" s="558">
        <v>752</v>
      </c>
      <c r="L36" s="558">
        <v>1270</v>
      </c>
      <c r="M36" s="558">
        <v>199</v>
      </c>
      <c r="N36" s="547"/>
      <c r="P36" s="549" t="s">
        <v>266</v>
      </c>
      <c r="Q36" s="550">
        <f t="shared" si="0"/>
        <v>0.12917271407837447</v>
      </c>
      <c r="R36" s="550">
        <f t="shared" si="1"/>
        <v>0.30720851475568456</v>
      </c>
      <c r="S36" s="550"/>
      <c r="T36" s="550"/>
      <c r="V36" s="516" t="s">
        <v>266</v>
      </c>
      <c r="W36" s="543">
        <v>42005</v>
      </c>
      <c r="X36" s="557">
        <v>4134</v>
      </c>
      <c r="Z36" s="456"/>
      <c r="AA36" s="555"/>
      <c r="AB36" s="556"/>
      <c r="AC36" s="556"/>
      <c r="AD36" s="556"/>
      <c r="AE36" s="556"/>
      <c r="AF36" s="556"/>
      <c r="AG36" s="556"/>
      <c r="AH36" s="556"/>
      <c r="AI36" s="556"/>
      <c r="AJ36" s="556"/>
    </row>
    <row r="37" spans="2:36">
      <c r="B37" s="538"/>
      <c r="C37" s="179" t="s">
        <v>267</v>
      </c>
      <c r="D37" s="559">
        <v>4309</v>
      </c>
      <c r="E37" s="558">
        <v>839</v>
      </c>
      <c r="F37" s="558">
        <v>3339</v>
      </c>
      <c r="G37" s="558">
        <v>635</v>
      </c>
      <c r="H37" s="558">
        <v>112</v>
      </c>
      <c r="I37" s="558">
        <v>193</v>
      </c>
      <c r="J37" s="558">
        <v>1083</v>
      </c>
      <c r="K37" s="558">
        <v>744</v>
      </c>
      <c r="L37" s="558">
        <v>1319</v>
      </c>
      <c r="M37" s="558">
        <v>223</v>
      </c>
      <c r="N37" s="547"/>
      <c r="O37" s="548"/>
      <c r="Q37" s="550">
        <f t="shared" si="0"/>
        <v>0.14736597818519379</v>
      </c>
      <c r="R37" s="550">
        <f t="shared" si="1"/>
        <v>0.30610350429333955</v>
      </c>
      <c r="S37" s="550"/>
      <c r="T37" s="550"/>
      <c r="V37" s="516"/>
      <c r="W37" s="543">
        <v>42095</v>
      </c>
      <c r="X37" s="557">
        <v>4309</v>
      </c>
      <c r="Z37" s="456"/>
      <c r="AA37" s="555"/>
      <c r="AB37" s="556"/>
      <c r="AC37" s="556"/>
      <c r="AD37" s="556"/>
      <c r="AE37" s="556"/>
      <c r="AF37" s="556"/>
      <c r="AG37" s="556"/>
      <c r="AH37" s="556"/>
      <c r="AI37" s="556"/>
      <c r="AJ37" s="556"/>
    </row>
    <row r="38" spans="2:36" ht="14">
      <c r="B38" s="538"/>
      <c r="C38" s="316" t="s">
        <v>268</v>
      </c>
      <c r="D38" s="559">
        <v>4562</v>
      </c>
      <c r="E38" s="558">
        <v>916</v>
      </c>
      <c r="F38" s="558">
        <v>3492</v>
      </c>
      <c r="G38" s="558">
        <v>625</v>
      </c>
      <c r="H38" s="558">
        <v>128</v>
      </c>
      <c r="I38" s="558">
        <v>183</v>
      </c>
      <c r="J38" s="558">
        <v>1220</v>
      </c>
      <c r="K38" s="558">
        <v>859</v>
      </c>
      <c r="L38" s="558">
        <v>1334</v>
      </c>
      <c r="M38" s="558">
        <v>213</v>
      </c>
      <c r="N38" s="547"/>
      <c r="O38" s="548"/>
      <c r="P38" s="541"/>
      <c r="Q38" s="550">
        <f>G38/D38</f>
        <v>0.13700131521262604</v>
      </c>
      <c r="R38" s="550">
        <f t="shared" si="1"/>
        <v>0.29241560718982901</v>
      </c>
      <c r="S38" s="550"/>
      <c r="T38" s="550"/>
      <c r="V38" s="516"/>
      <c r="W38" s="543">
        <v>42186</v>
      </c>
      <c r="X38" s="557">
        <v>4562</v>
      </c>
      <c r="Z38" s="456"/>
      <c r="AA38" s="555"/>
      <c r="AB38" s="556"/>
      <c r="AC38" s="556"/>
      <c r="AD38" s="556"/>
      <c r="AE38" s="556"/>
      <c r="AF38" s="556"/>
      <c r="AG38" s="556"/>
      <c r="AH38" s="556"/>
      <c r="AI38" s="556"/>
      <c r="AJ38" s="556"/>
    </row>
    <row r="39" spans="2:36" ht="14">
      <c r="B39" s="538"/>
      <c r="C39" s="316" t="s">
        <v>269</v>
      </c>
      <c r="D39" s="559">
        <v>4469</v>
      </c>
      <c r="E39" s="558">
        <v>797</v>
      </c>
      <c r="F39" s="558">
        <v>3472</v>
      </c>
      <c r="G39" s="558">
        <v>604</v>
      </c>
      <c r="H39" s="558">
        <v>133</v>
      </c>
      <c r="I39" s="558">
        <v>169</v>
      </c>
      <c r="J39" s="558">
        <v>1033</v>
      </c>
      <c r="K39" s="558">
        <v>839</v>
      </c>
      <c r="L39" s="558">
        <v>1481</v>
      </c>
      <c r="M39" s="558">
        <v>210</v>
      </c>
      <c r="N39" s="547"/>
      <c r="O39" s="548"/>
      <c r="P39" s="541"/>
      <c r="Q39" s="550">
        <f t="shared" si="0"/>
        <v>0.13515327813828598</v>
      </c>
      <c r="R39" s="550">
        <f t="shared" si="1"/>
        <v>0.33139404788543297</v>
      </c>
      <c r="S39" s="550"/>
      <c r="T39" s="550"/>
      <c r="V39" s="516"/>
      <c r="W39" s="543">
        <v>42278</v>
      </c>
      <c r="X39" s="557">
        <v>4469</v>
      </c>
      <c r="Z39" s="456"/>
      <c r="AA39" s="555"/>
      <c r="AB39" s="556"/>
      <c r="AC39" s="556"/>
      <c r="AD39" s="556"/>
      <c r="AE39" s="556"/>
      <c r="AF39" s="556"/>
      <c r="AG39" s="556"/>
      <c r="AH39" s="556"/>
      <c r="AI39" s="556"/>
      <c r="AJ39" s="556"/>
    </row>
    <row r="40" spans="2:36" ht="19.5" customHeight="1">
      <c r="B40" s="538"/>
      <c r="C40" s="316" t="s">
        <v>270</v>
      </c>
      <c r="D40" s="559">
        <v>4669</v>
      </c>
      <c r="E40" s="558">
        <v>924</v>
      </c>
      <c r="F40" s="558">
        <v>3538</v>
      </c>
      <c r="G40" s="558">
        <v>602</v>
      </c>
      <c r="H40" s="558">
        <v>108</v>
      </c>
      <c r="I40" s="558">
        <v>152</v>
      </c>
      <c r="J40" s="558">
        <v>1171</v>
      </c>
      <c r="K40" s="558">
        <v>878</v>
      </c>
      <c r="L40" s="558">
        <v>1592</v>
      </c>
      <c r="M40" s="558">
        <v>166</v>
      </c>
      <c r="N40" s="553"/>
      <c r="O40" s="560" t="s">
        <v>270</v>
      </c>
      <c r="Q40" s="550">
        <f t="shared" si="0"/>
        <v>0.12893553223388307</v>
      </c>
      <c r="R40" s="550">
        <f t="shared" si="1"/>
        <v>0.34097237095737848</v>
      </c>
      <c r="S40" s="550"/>
      <c r="T40" s="550"/>
      <c r="U40" s="516" t="s">
        <v>270</v>
      </c>
      <c r="V40" s="516"/>
      <c r="W40" s="543">
        <v>42370</v>
      </c>
      <c r="X40" s="557">
        <v>4669</v>
      </c>
      <c r="Z40" s="469"/>
      <c r="AA40" s="555"/>
      <c r="AB40" s="556"/>
      <c r="AC40" s="556"/>
      <c r="AD40" s="556"/>
      <c r="AE40" s="556"/>
      <c r="AF40" s="556"/>
      <c r="AG40" s="556"/>
      <c r="AH40" s="556"/>
      <c r="AI40" s="556"/>
      <c r="AJ40" s="556"/>
    </row>
    <row r="41" spans="2:36" ht="14">
      <c r="B41" s="538"/>
      <c r="C41" s="316" t="s">
        <v>271</v>
      </c>
      <c r="D41" s="559">
        <v>4966</v>
      </c>
      <c r="E41" s="558">
        <v>1018</v>
      </c>
      <c r="F41" s="558">
        <v>3748</v>
      </c>
      <c r="G41" s="558">
        <v>685</v>
      </c>
      <c r="H41" s="558">
        <v>114</v>
      </c>
      <c r="I41" s="558">
        <v>188</v>
      </c>
      <c r="J41" s="558">
        <v>1149</v>
      </c>
      <c r="K41" s="558">
        <v>897</v>
      </c>
      <c r="L41" s="558">
        <v>1694</v>
      </c>
      <c r="M41" s="558">
        <v>239</v>
      </c>
      <c r="N41" s="553"/>
      <c r="P41" s="560"/>
      <c r="Q41" s="550">
        <f t="shared" si="0"/>
        <v>0.13793797825211437</v>
      </c>
      <c r="R41" s="550">
        <f t="shared" si="1"/>
        <v>0.34111961337092228</v>
      </c>
      <c r="S41" s="550"/>
      <c r="T41" s="550"/>
      <c r="V41" s="516"/>
      <c r="W41" s="543">
        <v>42461</v>
      </c>
      <c r="X41" s="557">
        <v>4966</v>
      </c>
      <c r="Z41" s="469"/>
      <c r="AA41" s="555"/>
      <c r="AB41" s="556"/>
      <c r="AC41" s="556"/>
      <c r="AD41" s="556"/>
      <c r="AE41" s="556"/>
      <c r="AF41" s="556"/>
      <c r="AG41" s="556"/>
      <c r="AH41" s="556"/>
      <c r="AI41" s="556"/>
      <c r="AJ41" s="556"/>
    </row>
    <row r="42" spans="2:36" ht="14">
      <c r="B42" s="538"/>
      <c r="C42" s="316" t="s">
        <v>272</v>
      </c>
      <c r="D42" s="559">
        <v>4982</v>
      </c>
      <c r="E42" s="558">
        <v>897</v>
      </c>
      <c r="F42" s="558">
        <v>3871</v>
      </c>
      <c r="G42" s="558">
        <v>596</v>
      </c>
      <c r="H42" s="558">
        <v>103</v>
      </c>
      <c r="I42" s="558">
        <v>175</v>
      </c>
      <c r="J42" s="558">
        <v>1143</v>
      </c>
      <c r="K42" s="558">
        <v>1004</v>
      </c>
      <c r="L42" s="558">
        <v>1759</v>
      </c>
      <c r="M42" s="558">
        <v>202</v>
      </c>
      <c r="N42" s="553"/>
      <c r="P42" s="560"/>
      <c r="Q42" s="550">
        <f t="shared" si="0"/>
        <v>0.11963067041348856</v>
      </c>
      <c r="R42" s="550">
        <f t="shared" si="1"/>
        <v>0.35307105580088316</v>
      </c>
      <c r="S42" s="550"/>
      <c r="T42" s="550"/>
      <c r="V42" s="516"/>
      <c r="W42" s="543">
        <v>42552</v>
      </c>
      <c r="X42" s="557">
        <v>4982</v>
      </c>
      <c r="Z42" s="469"/>
      <c r="AA42" s="555"/>
      <c r="AB42" s="556"/>
      <c r="AC42" s="556"/>
      <c r="AD42" s="556"/>
      <c r="AE42" s="556"/>
      <c r="AF42" s="556"/>
      <c r="AG42" s="556"/>
      <c r="AH42" s="556"/>
      <c r="AI42" s="556"/>
      <c r="AJ42" s="556"/>
    </row>
    <row r="43" spans="2:36" ht="14">
      <c r="B43" s="538"/>
      <c r="C43" s="317" t="s">
        <v>273</v>
      </c>
      <c r="D43" s="559">
        <v>4689</v>
      </c>
      <c r="E43" s="558">
        <v>986</v>
      </c>
      <c r="F43" s="558">
        <v>3506</v>
      </c>
      <c r="G43" s="558">
        <v>652</v>
      </c>
      <c r="H43" s="558">
        <v>107</v>
      </c>
      <c r="I43" s="558">
        <v>171</v>
      </c>
      <c r="J43" s="558">
        <v>1054</v>
      </c>
      <c r="K43" s="558">
        <v>889</v>
      </c>
      <c r="L43" s="558">
        <v>1623</v>
      </c>
      <c r="M43" s="558">
        <v>193</v>
      </c>
      <c r="N43" s="553"/>
      <c r="P43" s="561"/>
      <c r="Q43" s="550">
        <f t="shared" si="0"/>
        <v>0.13904883770526766</v>
      </c>
      <c r="R43" s="550">
        <f t="shared" si="1"/>
        <v>0.34612923864363404</v>
      </c>
      <c r="S43" s="550"/>
      <c r="T43" s="550"/>
      <c r="V43" s="516"/>
      <c r="W43" s="543">
        <v>42644</v>
      </c>
      <c r="X43" s="557">
        <v>4689</v>
      </c>
      <c r="Z43" s="469"/>
      <c r="AA43" s="555"/>
      <c r="AB43" s="556"/>
      <c r="AC43" s="556"/>
      <c r="AD43" s="556"/>
      <c r="AE43" s="556"/>
      <c r="AF43" s="556"/>
      <c r="AG43" s="556"/>
      <c r="AH43" s="556"/>
      <c r="AI43" s="556"/>
      <c r="AJ43" s="556"/>
    </row>
    <row r="44" spans="2:36" ht="19.5" customHeight="1">
      <c r="B44" s="538"/>
      <c r="C44" s="316" t="s">
        <v>274</v>
      </c>
      <c r="D44" s="559">
        <v>5249</v>
      </c>
      <c r="E44" s="558">
        <v>1130</v>
      </c>
      <c r="F44" s="558">
        <v>3905</v>
      </c>
      <c r="G44" s="558">
        <v>607</v>
      </c>
      <c r="H44" s="558">
        <v>106</v>
      </c>
      <c r="I44" s="558">
        <v>185</v>
      </c>
      <c r="J44" s="558">
        <v>1271</v>
      </c>
      <c r="K44" s="558">
        <v>1022</v>
      </c>
      <c r="L44" s="558">
        <v>1828</v>
      </c>
      <c r="M44" s="558">
        <v>230</v>
      </c>
      <c r="N44" s="547"/>
      <c r="P44" s="541" t="s">
        <v>274</v>
      </c>
      <c r="Q44" s="550">
        <f t="shared" si="0"/>
        <v>0.11564107449037912</v>
      </c>
      <c r="R44" s="550">
        <f t="shared" si="1"/>
        <v>0.34825681082110876</v>
      </c>
      <c r="S44" s="550"/>
      <c r="T44" s="550"/>
      <c r="V44" s="516" t="s">
        <v>274</v>
      </c>
      <c r="W44" s="543">
        <v>42736</v>
      </c>
      <c r="X44" s="557">
        <v>5249</v>
      </c>
      <c r="Z44" s="469"/>
      <c r="AA44" s="555"/>
      <c r="AB44" s="556"/>
      <c r="AC44" s="556"/>
      <c r="AD44" s="556"/>
      <c r="AE44" s="556"/>
      <c r="AF44" s="556"/>
      <c r="AG44" s="556"/>
      <c r="AH44" s="556"/>
      <c r="AI44" s="556"/>
      <c r="AJ44" s="556"/>
    </row>
    <row r="45" spans="2:36" ht="14" customHeight="1">
      <c r="B45" s="538"/>
      <c r="C45" s="316" t="s">
        <v>275</v>
      </c>
      <c r="D45" s="559">
        <v>5293</v>
      </c>
      <c r="E45" s="558">
        <v>1158</v>
      </c>
      <c r="F45" s="558">
        <v>3881</v>
      </c>
      <c r="G45" s="558">
        <v>667</v>
      </c>
      <c r="H45" s="558">
        <v>66</v>
      </c>
      <c r="I45" s="558">
        <v>183</v>
      </c>
      <c r="J45" s="558">
        <v>1221</v>
      </c>
      <c r="K45" s="558">
        <v>974</v>
      </c>
      <c r="L45" s="558">
        <v>1942</v>
      </c>
      <c r="M45" s="558">
        <v>240</v>
      </c>
      <c r="N45" s="547"/>
      <c r="O45" s="548"/>
      <c r="P45" s="541"/>
      <c r="Q45" s="550">
        <f t="shared" si="0"/>
        <v>0.12601549215945587</v>
      </c>
      <c r="R45" s="550">
        <f t="shared" si="1"/>
        <v>0.36689967882108443</v>
      </c>
      <c r="S45" s="550"/>
      <c r="T45" s="550"/>
      <c r="V45" s="516"/>
      <c r="W45" s="543">
        <v>42826</v>
      </c>
      <c r="X45" s="557">
        <v>5293</v>
      </c>
      <c r="Z45" s="469"/>
      <c r="AA45" s="555"/>
      <c r="AB45" s="556"/>
      <c r="AC45" s="556"/>
      <c r="AD45" s="556"/>
      <c r="AE45" s="556"/>
      <c r="AF45" s="556"/>
      <c r="AG45" s="556"/>
      <c r="AH45" s="556"/>
      <c r="AI45" s="556"/>
      <c r="AJ45" s="556"/>
    </row>
    <row r="46" spans="2:36" ht="14" customHeight="1">
      <c r="B46" s="538"/>
      <c r="C46" s="316" t="s">
        <v>276</v>
      </c>
      <c r="D46" s="559">
        <v>5394</v>
      </c>
      <c r="E46" s="558">
        <v>1047</v>
      </c>
      <c r="F46" s="558">
        <v>4077</v>
      </c>
      <c r="G46" s="558">
        <v>548</v>
      </c>
      <c r="H46" s="558">
        <v>87</v>
      </c>
      <c r="I46" s="558">
        <v>174</v>
      </c>
      <c r="J46" s="558">
        <v>1230</v>
      </c>
      <c r="K46" s="558">
        <v>1067</v>
      </c>
      <c r="L46" s="558">
        <v>2063</v>
      </c>
      <c r="M46" s="558">
        <v>225</v>
      </c>
      <c r="N46" s="547"/>
      <c r="O46" s="548"/>
      <c r="P46" s="541"/>
      <c r="Q46" s="550">
        <f t="shared" si="0"/>
        <v>0.10159436410826844</v>
      </c>
      <c r="R46" s="550">
        <f t="shared" si="1"/>
        <v>0.38246199480904708</v>
      </c>
      <c r="S46" s="550"/>
      <c r="T46" s="550"/>
      <c r="V46" s="516"/>
      <c r="W46" s="543">
        <v>42917</v>
      </c>
      <c r="X46" s="557">
        <v>5394</v>
      </c>
      <c r="Z46" s="562"/>
      <c r="AA46" s="555"/>
      <c r="AB46" s="556"/>
      <c r="AC46" s="556"/>
      <c r="AD46" s="556"/>
      <c r="AE46" s="556"/>
      <c r="AF46" s="556"/>
      <c r="AG46" s="556"/>
      <c r="AH46" s="556"/>
      <c r="AI46" s="556"/>
      <c r="AJ46" s="556"/>
    </row>
    <row r="47" spans="2:36" ht="14" customHeight="1">
      <c r="B47" s="538"/>
      <c r="C47" s="316" t="s">
        <v>277</v>
      </c>
      <c r="D47" s="559">
        <v>5214</v>
      </c>
      <c r="E47" s="558">
        <v>1016</v>
      </c>
      <c r="F47" s="558">
        <v>3920</v>
      </c>
      <c r="G47" s="558">
        <v>612</v>
      </c>
      <c r="H47" s="558">
        <v>76</v>
      </c>
      <c r="I47" s="558">
        <v>188</v>
      </c>
      <c r="J47" s="558">
        <v>1164</v>
      </c>
      <c r="K47" s="558">
        <v>990</v>
      </c>
      <c r="L47" s="558">
        <v>1975</v>
      </c>
      <c r="M47" s="558">
        <v>209</v>
      </c>
      <c r="N47" s="547"/>
      <c r="O47" s="548"/>
      <c r="P47" s="541"/>
      <c r="Q47" s="550">
        <f t="shared" si="0"/>
        <v>0.11737629459148446</v>
      </c>
      <c r="R47" s="550">
        <f t="shared" si="1"/>
        <v>0.37878787878787878</v>
      </c>
      <c r="S47" s="550"/>
      <c r="T47" s="550"/>
      <c r="V47" s="516"/>
      <c r="W47" s="543">
        <v>43009</v>
      </c>
      <c r="X47" s="557">
        <v>5214</v>
      </c>
      <c r="Z47" s="562"/>
      <c r="AA47" s="555"/>
      <c r="AB47" s="556"/>
      <c r="AC47" s="556"/>
      <c r="AD47" s="556"/>
      <c r="AE47" s="556"/>
      <c r="AF47" s="556"/>
      <c r="AG47" s="556"/>
      <c r="AH47" s="556"/>
      <c r="AI47" s="556"/>
      <c r="AJ47" s="556"/>
    </row>
    <row r="48" spans="2:36" ht="19.5" customHeight="1">
      <c r="B48" s="538"/>
      <c r="C48" s="316" t="s">
        <v>278</v>
      </c>
      <c r="D48" s="559">
        <v>5310</v>
      </c>
      <c r="E48" s="558">
        <v>1121</v>
      </c>
      <c r="F48" s="558">
        <v>3940</v>
      </c>
      <c r="G48" s="558">
        <v>638</v>
      </c>
      <c r="H48" s="558">
        <v>89</v>
      </c>
      <c r="I48" s="558">
        <v>159</v>
      </c>
      <c r="J48" s="558">
        <v>1209</v>
      </c>
      <c r="K48" s="558">
        <v>901</v>
      </c>
      <c r="L48" s="558">
        <v>2062</v>
      </c>
      <c r="M48" s="558">
        <v>252</v>
      </c>
      <c r="N48" s="553"/>
      <c r="O48" s="560" t="s">
        <v>278</v>
      </c>
      <c r="Q48" s="550">
        <f t="shared" si="0"/>
        <v>0.12015065913370998</v>
      </c>
      <c r="R48" s="550">
        <f t="shared" si="1"/>
        <v>0.38832391713747644</v>
      </c>
      <c r="S48" s="550"/>
      <c r="T48" s="550"/>
      <c r="U48" s="516" t="s">
        <v>278</v>
      </c>
      <c r="V48" s="516"/>
      <c r="W48" s="543">
        <v>43101</v>
      </c>
      <c r="X48" s="557">
        <v>5310</v>
      </c>
      <c r="Z48" s="469"/>
      <c r="AA48" s="555"/>
      <c r="AB48" s="556"/>
      <c r="AC48" s="556"/>
      <c r="AD48" s="556"/>
      <c r="AE48" s="556"/>
      <c r="AF48" s="556"/>
      <c r="AG48" s="556"/>
      <c r="AH48" s="556"/>
      <c r="AI48" s="556"/>
      <c r="AJ48" s="556"/>
    </row>
    <row r="49" spans="2:38">
      <c r="B49" s="538"/>
      <c r="C49" s="682" t="s">
        <v>279</v>
      </c>
      <c r="D49" s="559">
        <v>5443</v>
      </c>
      <c r="E49" s="558">
        <v>1164</v>
      </c>
      <c r="F49" s="558">
        <v>4056</v>
      </c>
      <c r="G49" s="558">
        <v>653</v>
      </c>
      <c r="H49" s="558">
        <v>84</v>
      </c>
      <c r="I49" s="558">
        <v>181</v>
      </c>
      <c r="J49" s="558">
        <v>1374</v>
      </c>
      <c r="K49" s="558">
        <v>930</v>
      </c>
      <c r="L49" s="558">
        <v>1975</v>
      </c>
      <c r="M49" s="558">
        <v>246</v>
      </c>
      <c r="N49" s="553"/>
      <c r="P49" s="563"/>
      <c r="Q49" s="550">
        <f t="shared" si="0"/>
        <v>0.11997060444607753</v>
      </c>
      <c r="R49" s="550">
        <f t="shared" si="1"/>
        <v>0.36285136873047952</v>
      </c>
      <c r="S49" s="550">
        <f t="shared" ref="S49:S55" si="2">J49/D49</f>
        <v>0.25243431930920446</v>
      </c>
      <c r="T49" s="550">
        <f t="shared" ref="T49:T55" si="3">K49/D49</f>
        <v>0.17086165717435237</v>
      </c>
      <c r="V49" s="516"/>
      <c r="W49" s="543">
        <v>43191</v>
      </c>
      <c r="X49" s="557">
        <v>5443</v>
      </c>
      <c r="Z49" s="469"/>
      <c r="AA49" s="555"/>
      <c r="AB49" s="556"/>
      <c r="AC49" s="556"/>
      <c r="AD49" s="556"/>
      <c r="AE49" s="556"/>
      <c r="AF49" s="556"/>
      <c r="AG49" s="556"/>
      <c r="AH49" s="556"/>
      <c r="AI49" s="556"/>
      <c r="AJ49" s="556"/>
    </row>
    <row r="50" spans="2:38" ht="14">
      <c r="B50" s="538"/>
      <c r="C50" s="316" t="s">
        <v>280</v>
      </c>
      <c r="D50" s="559">
        <v>5656</v>
      </c>
      <c r="E50" s="558">
        <v>1057</v>
      </c>
      <c r="F50" s="558">
        <v>4362</v>
      </c>
      <c r="G50" s="558">
        <v>602</v>
      </c>
      <c r="H50" s="558">
        <v>71</v>
      </c>
      <c r="I50" s="558">
        <v>119</v>
      </c>
      <c r="J50" s="558">
        <v>1310</v>
      </c>
      <c r="K50" s="558">
        <v>1090</v>
      </c>
      <c r="L50" s="558">
        <v>2185</v>
      </c>
      <c r="M50" s="558">
        <v>279</v>
      </c>
      <c r="N50" s="553"/>
      <c r="P50" s="560"/>
      <c r="Q50" s="550">
        <f t="shared" si="0"/>
        <v>0.10643564356435643</v>
      </c>
      <c r="R50" s="550">
        <f t="shared" si="1"/>
        <v>0.38631541725601132</v>
      </c>
      <c r="S50" s="550">
        <f t="shared" si="2"/>
        <v>0.23161244695898162</v>
      </c>
      <c r="T50" s="550">
        <f t="shared" si="3"/>
        <v>0.19271570014144271</v>
      </c>
      <c r="V50" s="516"/>
      <c r="W50" s="543">
        <v>43282</v>
      </c>
      <c r="X50" s="557">
        <v>5656</v>
      </c>
      <c r="Z50" s="469"/>
      <c r="AA50" s="555"/>
      <c r="AB50" s="556"/>
      <c r="AC50" s="556"/>
      <c r="AD50" s="556"/>
      <c r="AE50" s="556"/>
      <c r="AF50" s="556"/>
      <c r="AG50" s="556"/>
      <c r="AH50" s="556"/>
      <c r="AI50" s="556"/>
      <c r="AJ50" s="556"/>
    </row>
    <row r="51" spans="2:38" ht="14">
      <c r="B51" s="538"/>
      <c r="C51" s="316" t="s">
        <v>281</v>
      </c>
      <c r="D51" s="559">
        <v>5256</v>
      </c>
      <c r="E51" s="558">
        <v>971</v>
      </c>
      <c r="F51" s="558">
        <v>4058</v>
      </c>
      <c r="G51" s="558">
        <v>565</v>
      </c>
      <c r="H51" s="558">
        <v>50</v>
      </c>
      <c r="I51" s="558">
        <v>114</v>
      </c>
      <c r="J51" s="558">
        <v>1210</v>
      </c>
      <c r="K51" s="558">
        <v>984</v>
      </c>
      <c r="L51" s="558">
        <v>2069</v>
      </c>
      <c r="M51" s="558">
        <v>264</v>
      </c>
      <c r="N51" s="553"/>
      <c r="P51" s="560"/>
      <c r="Q51" s="550">
        <f t="shared" si="0"/>
        <v>0.10749619482496195</v>
      </c>
      <c r="R51" s="550">
        <f t="shared" si="1"/>
        <v>0.39364535768645359</v>
      </c>
      <c r="S51" s="550">
        <f t="shared" si="2"/>
        <v>0.2302130898021309</v>
      </c>
      <c r="T51" s="550">
        <f t="shared" si="3"/>
        <v>0.18721461187214611</v>
      </c>
      <c r="V51" s="516"/>
      <c r="W51" s="543">
        <v>43374</v>
      </c>
      <c r="X51" s="557">
        <v>5256</v>
      </c>
      <c r="Z51" s="469"/>
      <c r="AA51" s="555"/>
      <c r="AB51" s="556"/>
      <c r="AC51" s="556"/>
      <c r="AD51" s="556"/>
      <c r="AE51" s="556"/>
      <c r="AF51" s="556"/>
      <c r="AG51" s="556"/>
      <c r="AH51" s="556"/>
      <c r="AI51" s="556"/>
      <c r="AJ51" s="556"/>
    </row>
    <row r="52" spans="2:38" ht="19.5" customHeight="1">
      <c r="B52" s="538"/>
      <c r="C52" s="316" t="s">
        <v>282</v>
      </c>
      <c r="D52" s="559">
        <v>5828</v>
      </c>
      <c r="E52" s="558">
        <v>1159</v>
      </c>
      <c r="F52" s="558">
        <v>4455</v>
      </c>
      <c r="G52" s="558">
        <v>678</v>
      </c>
      <c r="H52" s="558">
        <v>65</v>
      </c>
      <c r="I52" s="558">
        <v>115</v>
      </c>
      <c r="J52" s="558">
        <v>1282</v>
      </c>
      <c r="K52" s="558">
        <v>1141</v>
      </c>
      <c r="L52" s="558">
        <v>2307</v>
      </c>
      <c r="M52" s="558">
        <v>240</v>
      </c>
      <c r="N52" s="564"/>
      <c r="P52" s="541" t="s">
        <v>282</v>
      </c>
      <c r="Q52" s="550">
        <f t="shared" si="0"/>
        <v>0.11633493479752917</v>
      </c>
      <c r="R52" s="550">
        <f t="shared" si="1"/>
        <v>0.39584763212079616</v>
      </c>
      <c r="S52" s="550">
        <f t="shared" si="2"/>
        <v>0.21997254632807137</v>
      </c>
      <c r="T52" s="550">
        <f t="shared" si="3"/>
        <v>0.19577899794097461</v>
      </c>
      <c r="V52" s="516" t="s">
        <v>282</v>
      </c>
      <c r="W52" s="543">
        <v>43466</v>
      </c>
      <c r="X52" s="557">
        <v>5828</v>
      </c>
      <c r="Z52" s="469"/>
      <c r="AA52" s="555"/>
      <c r="AB52" s="556"/>
      <c r="AC52" s="556"/>
      <c r="AD52" s="556"/>
      <c r="AE52" s="556"/>
      <c r="AF52" s="556"/>
      <c r="AG52" s="556"/>
      <c r="AH52" s="556"/>
      <c r="AI52" s="556"/>
      <c r="AJ52" s="556"/>
    </row>
    <row r="53" spans="2:38" ht="14.25" customHeight="1">
      <c r="B53" s="538"/>
      <c r="C53" s="316" t="s">
        <v>283</v>
      </c>
      <c r="D53" s="559">
        <v>5732</v>
      </c>
      <c r="E53" s="558">
        <v>1230</v>
      </c>
      <c r="F53" s="558">
        <v>4263</v>
      </c>
      <c r="G53" s="558">
        <v>753</v>
      </c>
      <c r="H53" s="558">
        <v>64</v>
      </c>
      <c r="I53" s="558">
        <v>119</v>
      </c>
      <c r="J53" s="558">
        <v>1346</v>
      </c>
      <c r="K53" s="558">
        <v>1047</v>
      </c>
      <c r="L53" s="558">
        <v>2139</v>
      </c>
      <c r="M53" s="558">
        <v>264</v>
      </c>
      <c r="N53" s="564"/>
      <c r="O53" s="548"/>
      <c r="P53" s="541"/>
      <c r="Q53" s="550">
        <f t="shared" si="0"/>
        <v>0.13136775994417307</v>
      </c>
      <c r="R53" s="550">
        <f t="shared" si="1"/>
        <v>0.37316817864619678</v>
      </c>
      <c r="S53" s="550">
        <f t="shared" si="2"/>
        <v>0.23482205163991626</v>
      </c>
      <c r="T53" s="550">
        <f t="shared" si="3"/>
        <v>0.18265875785066293</v>
      </c>
      <c r="V53" s="516"/>
      <c r="W53" s="543">
        <v>43556</v>
      </c>
      <c r="X53" s="557">
        <v>5732</v>
      </c>
      <c r="Z53" s="469"/>
      <c r="AA53" s="555"/>
      <c r="AB53" s="556"/>
      <c r="AC53" s="556"/>
      <c r="AD53" s="556"/>
      <c r="AE53" s="556"/>
      <c r="AF53" s="556"/>
      <c r="AG53" s="556"/>
      <c r="AH53" s="556"/>
      <c r="AI53" s="556"/>
      <c r="AJ53" s="556"/>
    </row>
    <row r="54" spans="2:38" ht="14.25" customHeight="1">
      <c r="B54" s="538"/>
      <c r="C54" s="316" t="s">
        <v>284</v>
      </c>
      <c r="D54" s="559">
        <v>5688</v>
      </c>
      <c r="E54" s="558">
        <v>1106</v>
      </c>
      <c r="F54" s="558">
        <v>4323</v>
      </c>
      <c r="G54" s="558">
        <v>678</v>
      </c>
      <c r="H54" s="558">
        <v>75</v>
      </c>
      <c r="I54" s="558">
        <v>128</v>
      </c>
      <c r="J54" s="558">
        <v>1235</v>
      </c>
      <c r="K54" s="558">
        <v>1157</v>
      </c>
      <c r="L54" s="558">
        <v>2165</v>
      </c>
      <c r="M54" s="558">
        <v>250</v>
      </c>
      <c r="N54" s="564"/>
      <c r="O54" s="548"/>
      <c r="P54" s="541"/>
      <c r="Q54" s="550">
        <f t="shared" si="0"/>
        <v>0.11919831223628692</v>
      </c>
      <c r="R54" s="550">
        <f t="shared" si="1"/>
        <v>0.38062587904360057</v>
      </c>
      <c r="S54" s="550">
        <f t="shared" si="2"/>
        <v>0.21712376933895922</v>
      </c>
      <c r="T54" s="550">
        <f t="shared" si="3"/>
        <v>0.20341068917018285</v>
      </c>
      <c r="V54" s="516"/>
      <c r="W54" s="543">
        <v>43647</v>
      </c>
      <c r="X54" s="557">
        <v>5688</v>
      </c>
      <c r="Z54" s="565"/>
      <c r="AA54" s="555"/>
      <c r="AB54" s="556"/>
      <c r="AC54" s="556"/>
      <c r="AD54" s="556"/>
      <c r="AE54" s="556"/>
      <c r="AF54" s="556"/>
      <c r="AG54" s="556"/>
      <c r="AH54" s="556"/>
      <c r="AI54" s="556"/>
      <c r="AJ54" s="556"/>
    </row>
    <row r="55" spans="2:38" ht="14.25" customHeight="1">
      <c r="B55" s="538"/>
      <c r="C55" s="316" t="s">
        <v>285</v>
      </c>
      <c r="D55" s="559">
        <v>5215</v>
      </c>
      <c r="E55" s="558">
        <v>962</v>
      </c>
      <c r="F55" s="558">
        <v>4044</v>
      </c>
      <c r="G55" s="558">
        <v>585</v>
      </c>
      <c r="H55" s="558">
        <v>71</v>
      </c>
      <c r="I55" s="558">
        <v>125</v>
      </c>
      <c r="J55" s="558">
        <v>1217</v>
      </c>
      <c r="K55" s="558">
        <v>1048</v>
      </c>
      <c r="L55" s="558">
        <v>1971</v>
      </c>
      <c r="M55" s="558">
        <v>198</v>
      </c>
      <c r="N55" s="564"/>
      <c r="O55" s="548"/>
      <c r="P55" s="541"/>
      <c r="Q55" s="550">
        <f t="shared" si="0"/>
        <v>0.11217641418983701</v>
      </c>
      <c r="R55" s="550">
        <f t="shared" si="1"/>
        <v>0.37794822627037394</v>
      </c>
      <c r="S55" s="550">
        <f t="shared" si="2"/>
        <v>0.23336529242569512</v>
      </c>
      <c r="T55" s="550">
        <f t="shared" si="3"/>
        <v>0.20095877277085331</v>
      </c>
      <c r="V55" s="516"/>
      <c r="W55" s="543">
        <v>43739</v>
      </c>
      <c r="X55" s="557">
        <v>5215</v>
      </c>
      <c r="Z55" s="469"/>
      <c r="AA55" s="555"/>
      <c r="AB55" s="556"/>
      <c r="AC55" s="556"/>
      <c r="AD55" s="556"/>
      <c r="AE55" s="556"/>
      <c r="AF55" s="556"/>
      <c r="AG55" s="556"/>
      <c r="AH55" s="556"/>
      <c r="AI55" s="556"/>
      <c r="AJ55" s="556"/>
    </row>
    <row r="56" spans="2:38" ht="19.5" customHeight="1">
      <c r="B56" s="538"/>
      <c r="C56" s="316" t="s">
        <v>311</v>
      </c>
      <c r="D56" s="559">
        <v>4937</v>
      </c>
      <c r="E56" s="558">
        <v>1028</v>
      </c>
      <c r="F56" s="558">
        <v>3908</v>
      </c>
      <c r="G56" s="558">
        <v>643</v>
      </c>
      <c r="H56" s="558">
        <v>65</v>
      </c>
      <c r="I56" s="558">
        <v>118</v>
      </c>
      <c r="J56" s="558">
        <v>1092</v>
      </c>
      <c r="K56" s="558">
        <v>1049</v>
      </c>
      <c r="L56" s="558">
        <v>1757</v>
      </c>
      <c r="M56" s="558">
        <v>213</v>
      </c>
      <c r="N56" s="564"/>
      <c r="O56" s="541" t="s">
        <v>312</v>
      </c>
      <c r="Q56" s="550">
        <f t="shared" si="0"/>
        <v>0.13024103706704476</v>
      </c>
      <c r="R56" s="550">
        <f t="shared" si="1"/>
        <v>0.35588414016609277</v>
      </c>
      <c r="S56" s="550">
        <f>J56/D56</f>
        <v>0.22118695564107757</v>
      </c>
      <c r="T56" s="550">
        <f>K56/D56</f>
        <v>0.21247721288231719</v>
      </c>
      <c r="U56" s="516" t="s">
        <v>312</v>
      </c>
      <c r="V56" s="516"/>
      <c r="W56" s="543">
        <v>43831</v>
      </c>
      <c r="X56" s="557">
        <v>4929</v>
      </c>
      <c r="Z56" s="469"/>
      <c r="AA56" s="555"/>
      <c r="AB56" s="556"/>
      <c r="AC56" s="556"/>
      <c r="AD56" s="556"/>
      <c r="AE56" s="556"/>
      <c r="AF56" s="556"/>
      <c r="AG56" s="556"/>
      <c r="AH56" s="556"/>
      <c r="AI56" s="556"/>
      <c r="AJ56" s="556"/>
    </row>
    <row r="57" spans="2:38" ht="14.25" customHeight="1">
      <c r="B57" s="538"/>
      <c r="C57" s="683" t="s">
        <v>287</v>
      </c>
      <c r="D57" s="559">
        <v>2775</v>
      </c>
      <c r="E57" s="558">
        <v>541</v>
      </c>
      <c r="F57" s="558">
        <v>2234</v>
      </c>
      <c r="G57" s="558">
        <v>629</v>
      </c>
      <c r="H57" s="558">
        <v>19</v>
      </c>
      <c r="I57" s="558">
        <v>32</v>
      </c>
      <c r="J57" s="558">
        <v>379</v>
      </c>
      <c r="K57" s="558">
        <v>410</v>
      </c>
      <c r="L57" s="558">
        <v>1191</v>
      </c>
      <c r="M57" s="558">
        <v>115</v>
      </c>
      <c r="N57" s="566"/>
      <c r="O57" s="567"/>
      <c r="P57" s="567"/>
      <c r="Q57" s="550">
        <f t="shared" si="0"/>
        <v>0.22666666666666666</v>
      </c>
      <c r="R57" s="550">
        <f t="shared" si="1"/>
        <v>0.42918918918918919</v>
      </c>
      <c r="S57" s="550">
        <f t="shared" ref="S57:S60" si="4">J57/D57</f>
        <v>0.13657657657657657</v>
      </c>
      <c r="T57" s="550">
        <f t="shared" ref="T57:T60" si="5">K57/D57</f>
        <v>0.14774774774774774</v>
      </c>
      <c r="V57" s="516"/>
      <c r="W57" s="543">
        <v>43922</v>
      </c>
      <c r="X57" s="557">
        <v>2773</v>
      </c>
      <c r="Y57" s="568"/>
      <c r="Z57" s="469"/>
      <c r="AA57" s="555"/>
      <c r="AB57" s="556"/>
      <c r="AC57" s="556"/>
      <c r="AD57" s="556"/>
      <c r="AE57" s="556"/>
      <c r="AF57" s="556"/>
      <c r="AG57" s="556"/>
      <c r="AH57" s="556"/>
      <c r="AI57" s="556"/>
      <c r="AJ57" s="556"/>
    </row>
    <row r="58" spans="2:38" ht="14" customHeight="1">
      <c r="B58" s="538"/>
      <c r="C58" s="682" t="s">
        <v>288</v>
      </c>
      <c r="D58" s="559">
        <v>5420</v>
      </c>
      <c r="E58" s="558">
        <v>1026</v>
      </c>
      <c r="F58" s="558">
        <v>4394</v>
      </c>
      <c r="G58" s="558">
        <v>619</v>
      </c>
      <c r="H58" s="558">
        <v>78</v>
      </c>
      <c r="I58" s="558">
        <v>146</v>
      </c>
      <c r="J58" s="558">
        <v>1387</v>
      </c>
      <c r="K58" s="558">
        <v>1184</v>
      </c>
      <c r="L58" s="558">
        <v>1772</v>
      </c>
      <c r="M58" s="558">
        <v>234</v>
      </c>
      <c r="N58" s="538"/>
      <c r="Q58" s="550">
        <f t="shared" si="0"/>
        <v>0.11420664206642066</v>
      </c>
      <c r="R58" s="550">
        <f t="shared" si="1"/>
        <v>0.32693726937269374</v>
      </c>
      <c r="S58" s="550">
        <f t="shared" si="4"/>
        <v>0.25590405904059038</v>
      </c>
      <c r="T58" s="550">
        <f t="shared" si="5"/>
        <v>0.21845018450184503</v>
      </c>
      <c r="V58" s="516"/>
      <c r="W58" s="543">
        <v>44013</v>
      </c>
      <c r="X58" s="557">
        <v>5418</v>
      </c>
      <c r="Z58" s="469"/>
      <c r="AA58" s="555"/>
      <c r="AB58" s="556"/>
      <c r="AC58" s="556"/>
      <c r="AD58" s="556"/>
      <c r="AE58" s="556"/>
      <c r="AF58" s="556"/>
      <c r="AG58" s="556"/>
      <c r="AH58" s="556"/>
      <c r="AI58" s="556"/>
      <c r="AJ58" s="556"/>
      <c r="AK58" s="569"/>
      <c r="AL58" s="535"/>
    </row>
    <row r="59" spans="2:38" ht="14.25" customHeight="1">
      <c r="B59" s="538"/>
      <c r="C59" s="682" t="s">
        <v>289</v>
      </c>
      <c r="D59" s="559">
        <v>5427</v>
      </c>
      <c r="E59" s="558">
        <v>1036</v>
      </c>
      <c r="F59" s="558">
        <v>4391</v>
      </c>
      <c r="G59" s="558">
        <v>614</v>
      </c>
      <c r="H59" s="558">
        <v>88</v>
      </c>
      <c r="I59" s="558">
        <v>154</v>
      </c>
      <c r="J59" s="558">
        <v>1356</v>
      </c>
      <c r="K59" s="558">
        <v>1298</v>
      </c>
      <c r="L59" s="558">
        <v>1649</v>
      </c>
      <c r="M59" s="558">
        <v>268</v>
      </c>
      <c r="N59" s="570"/>
      <c r="O59" s="571"/>
      <c r="P59" s="571"/>
      <c r="Q59" s="550">
        <f t="shared" si="0"/>
        <v>0.11313801363552607</v>
      </c>
      <c r="R59" s="550">
        <f t="shared" si="1"/>
        <v>0.30385111479638843</v>
      </c>
      <c r="S59" s="550">
        <f t="shared" si="4"/>
        <v>0.24986180210060807</v>
      </c>
      <c r="T59" s="550">
        <f t="shared" si="5"/>
        <v>0.23917449788096554</v>
      </c>
      <c r="V59" s="516"/>
      <c r="W59" s="543">
        <v>44105</v>
      </c>
      <c r="X59" s="557">
        <v>5414</v>
      </c>
      <c r="Z59" s="469"/>
      <c r="AA59" s="555"/>
      <c r="AB59" s="556"/>
      <c r="AC59" s="556"/>
      <c r="AD59" s="556"/>
      <c r="AE59" s="556"/>
      <c r="AF59" s="556"/>
      <c r="AG59" s="556"/>
      <c r="AH59" s="556"/>
      <c r="AI59" s="556"/>
      <c r="AJ59" s="556"/>
      <c r="AK59" s="535"/>
      <c r="AL59" s="535"/>
    </row>
    <row r="60" spans="2:38" s="517" customFormat="1" ht="19.25" customHeight="1">
      <c r="B60" s="572"/>
      <c r="C60" s="682" t="s">
        <v>290</v>
      </c>
      <c r="D60" s="559">
        <v>5061</v>
      </c>
      <c r="E60" s="558">
        <v>959</v>
      </c>
      <c r="F60" s="558">
        <v>4100</v>
      </c>
      <c r="G60" s="558">
        <v>597</v>
      </c>
      <c r="H60" s="558">
        <v>90</v>
      </c>
      <c r="I60" s="558">
        <v>152</v>
      </c>
      <c r="J60" s="558">
        <v>1221</v>
      </c>
      <c r="K60" s="558">
        <v>1199</v>
      </c>
      <c r="L60" s="558">
        <v>1589</v>
      </c>
      <c r="M60" s="558">
        <v>213</v>
      </c>
      <c r="N60" s="339"/>
      <c r="P60" s="541" t="s">
        <v>290</v>
      </c>
      <c r="Q60" s="550">
        <f>G60/D60</f>
        <v>0.11796087729697688</v>
      </c>
      <c r="R60" s="550">
        <f t="shared" si="1"/>
        <v>0.31396957123098201</v>
      </c>
      <c r="S60" s="550">
        <f t="shared" si="4"/>
        <v>0.24125666864256076</v>
      </c>
      <c r="T60" s="550">
        <f t="shared" si="5"/>
        <v>0.23690970163999209</v>
      </c>
      <c r="U60" s="516"/>
      <c r="V60" s="516" t="s">
        <v>290</v>
      </c>
      <c r="W60" s="543">
        <v>44197</v>
      </c>
      <c r="X60" s="573">
        <v>5054</v>
      </c>
      <c r="Y60" s="574"/>
      <c r="Z60" s="575"/>
      <c r="AA60" s="555"/>
      <c r="AB60" s="556"/>
      <c r="AC60" s="556"/>
      <c r="AD60" s="556"/>
      <c r="AE60" s="556"/>
      <c r="AF60" s="556"/>
      <c r="AG60" s="556"/>
      <c r="AH60" s="556"/>
      <c r="AI60" s="556"/>
      <c r="AJ60" s="556"/>
      <c r="AK60" s="516"/>
      <c r="AL60" s="516"/>
    </row>
    <row r="61" spans="2:38" s="517" customFormat="1" ht="14.25" customHeight="1">
      <c r="B61" s="572"/>
      <c r="C61" s="682" t="s">
        <v>291</v>
      </c>
      <c r="D61" s="559">
        <v>5009</v>
      </c>
      <c r="E61" s="576">
        <v>910</v>
      </c>
      <c r="F61" s="576">
        <v>4099</v>
      </c>
      <c r="G61" s="576">
        <v>609</v>
      </c>
      <c r="H61" s="576">
        <v>83</v>
      </c>
      <c r="I61" s="576">
        <v>128</v>
      </c>
      <c r="J61" s="576">
        <v>1194</v>
      </c>
      <c r="K61" s="576">
        <v>1229</v>
      </c>
      <c r="L61" s="576">
        <v>1534</v>
      </c>
      <c r="M61" s="576">
        <v>232</v>
      </c>
      <c r="N61" s="339"/>
      <c r="P61" s="541"/>
      <c r="Q61" s="550">
        <f>G61/D61</f>
        <v>0.12158115392293871</v>
      </c>
      <c r="R61" s="550">
        <f>L61/D61</f>
        <v>0.30624875224595727</v>
      </c>
      <c r="S61" s="550">
        <f>J61/D61</f>
        <v>0.23837093232182072</v>
      </c>
      <c r="T61" s="550">
        <f>K61/D61</f>
        <v>0.24535835496107009</v>
      </c>
      <c r="U61" s="516"/>
      <c r="V61" s="516"/>
      <c r="W61" s="543">
        <v>44287</v>
      </c>
      <c r="X61" s="573">
        <v>4997</v>
      </c>
      <c r="Y61" s="574"/>
      <c r="Z61" s="469"/>
      <c r="AA61" s="555"/>
      <c r="AB61" s="556"/>
      <c r="AC61" s="556"/>
      <c r="AD61" s="556"/>
      <c r="AE61" s="556"/>
      <c r="AF61" s="556"/>
      <c r="AG61" s="556"/>
      <c r="AH61" s="556"/>
      <c r="AI61" s="556"/>
      <c r="AJ61" s="556"/>
      <c r="AK61" s="516"/>
      <c r="AL61" s="516"/>
    </row>
    <row r="62" spans="2:38" s="517" customFormat="1" ht="14.25" customHeight="1">
      <c r="B62" s="572"/>
      <c r="C62" s="682" t="s">
        <v>292</v>
      </c>
      <c r="D62" s="559">
        <v>4880</v>
      </c>
      <c r="E62" s="576">
        <v>886</v>
      </c>
      <c r="F62" s="576">
        <v>3994</v>
      </c>
      <c r="G62" s="576">
        <v>620</v>
      </c>
      <c r="H62" s="576">
        <v>56</v>
      </c>
      <c r="I62" s="576">
        <v>103</v>
      </c>
      <c r="J62" s="576">
        <v>1159</v>
      </c>
      <c r="K62" s="576">
        <v>1185</v>
      </c>
      <c r="L62" s="576">
        <v>1523</v>
      </c>
      <c r="M62" s="576">
        <v>234</v>
      </c>
      <c r="N62" s="339"/>
      <c r="P62" s="541"/>
      <c r="Q62" s="550">
        <f t="shared" ref="Q62:Q63" si="6">G62/D62</f>
        <v>0.12704918032786885</v>
      </c>
      <c r="R62" s="550">
        <f t="shared" ref="R62:R63" si="7">L62/D62</f>
        <v>0.31209016393442623</v>
      </c>
      <c r="S62" s="550">
        <f t="shared" ref="S62:S63" si="8">J62/D62</f>
        <v>0.23749999999999999</v>
      </c>
      <c r="T62" s="550">
        <f t="shared" ref="T62:T63" si="9">K62/D62</f>
        <v>0.24282786885245902</v>
      </c>
      <c r="U62" s="516"/>
      <c r="V62" s="516"/>
      <c r="W62" s="543">
        <v>44378</v>
      </c>
      <c r="X62" s="573">
        <v>4864</v>
      </c>
      <c r="Y62" s="574"/>
      <c r="Z62" s="469"/>
      <c r="AA62" s="555"/>
      <c r="AB62" s="556"/>
      <c r="AC62" s="556"/>
      <c r="AD62" s="556"/>
      <c r="AE62" s="556"/>
      <c r="AF62" s="556"/>
      <c r="AG62" s="556"/>
      <c r="AH62" s="556"/>
      <c r="AI62" s="556"/>
      <c r="AJ62" s="556"/>
      <c r="AK62" s="516"/>
      <c r="AL62" s="516"/>
    </row>
    <row r="63" spans="2:38" s="517" customFormat="1" ht="14.25" customHeight="1">
      <c r="B63" s="572"/>
      <c r="C63" s="682" t="s">
        <v>293</v>
      </c>
      <c r="D63" s="559">
        <v>4777</v>
      </c>
      <c r="E63" s="576">
        <v>813</v>
      </c>
      <c r="F63" s="576">
        <v>3963</v>
      </c>
      <c r="G63" s="576">
        <v>578</v>
      </c>
      <c r="H63" s="576">
        <v>55</v>
      </c>
      <c r="I63" s="576">
        <v>146</v>
      </c>
      <c r="J63" s="576">
        <v>1052</v>
      </c>
      <c r="K63" s="576">
        <v>1025</v>
      </c>
      <c r="L63" s="576">
        <v>1687</v>
      </c>
      <c r="M63" s="576">
        <v>234</v>
      </c>
      <c r="N63" s="339"/>
      <c r="P63" s="541"/>
      <c r="Q63" s="550">
        <f t="shared" si="6"/>
        <v>0.12099644128113879</v>
      </c>
      <c r="R63" s="550">
        <f t="shared" si="7"/>
        <v>0.3531505128741888</v>
      </c>
      <c r="S63" s="550">
        <f t="shared" si="8"/>
        <v>0.22022189658781663</v>
      </c>
      <c r="T63" s="550">
        <f t="shared" si="9"/>
        <v>0.2145698136906008</v>
      </c>
      <c r="U63" s="516"/>
      <c r="V63" s="516"/>
      <c r="W63" s="543">
        <v>44470</v>
      </c>
      <c r="X63" s="573">
        <v>4755</v>
      </c>
      <c r="Y63" s="574"/>
      <c r="Z63" s="469"/>
      <c r="AA63" s="555"/>
      <c r="AB63" s="556"/>
      <c r="AC63" s="556"/>
      <c r="AD63" s="556"/>
      <c r="AE63" s="556"/>
      <c r="AF63" s="556"/>
      <c r="AG63" s="556"/>
      <c r="AH63" s="556"/>
      <c r="AI63" s="556"/>
      <c r="AJ63" s="556"/>
      <c r="AK63" s="516"/>
      <c r="AL63" s="516"/>
    </row>
    <row r="64" spans="2:38" s="517" customFormat="1" ht="33.5" customHeight="1">
      <c r="B64" s="572"/>
      <c r="C64" s="682" t="s">
        <v>294</v>
      </c>
      <c r="D64" s="559">
        <v>5071</v>
      </c>
      <c r="E64" s="558">
        <v>927</v>
      </c>
      <c r="F64" s="558">
        <v>4142</v>
      </c>
      <c r="G64" s="558">
        <v>628</v>
      </c>
      <c r="H64" s="558">
        <v>72</v>
      </c>
      <c r="I64" s="558">
        <v>137</v>
      </c>
      <c r="J64" s="558">
        <v>1084</v>
      </c>
      <c r="K64" s="558">
        <v>1240</v>
      </c>
      <c r="L64" s="558">
        <v>1654</v>
      </c>
      <c r="M64" s="558">
        <v>256</v>
      </c>
      <c r="N64" s="339"/>
      <c r="O64" s="517" t="s">
        <v>294</v>
      </c>
      <c r="P64" s="541"/>
      <c r="Q64" s="550">
        <f>G64/D64</f>
        <v>0.12384145139025833</v>
      </c>
      <c r="R64" s="550">
        <f>L64/D64</f>
        <v>0.32616840859790969</v>
      </c>
      <c r="S64" s="550">
        <f>J64/D64</f>
        <v>0.21376454348254781</v>
      </c>
      <c r="T64" s="550">
        <f>K64/D64</f>
        <v>0.24452770656675213</v>
      </c>
      <c r="U64" s="517" t="s">
        <v>294</v>
      </c>
      <c r="W64" s="543">
        <v>44562</v>
      </c>
      <c r="X64" s="573">
        <v>5058</v>
      </c>
      <c r="Y64" s="574"/>
      <c r="Z64" s="575">
        <f>(D64-D60)/D60</f>
        <v>1.9758940920766646E-3</v>
      </c>
      <c r="AA64" s="555"/>
      <c r="AB64" s="556"/>
      <c r="AC64" s="556"/>
      <c r="AD64" s="556"/>
      <c r="AE64" s="556"/>
      <c r="AF64" s="556"/>
      <c r="AG64" s="556"/>
      <c r="AH64" s="556"/>
      <c r="AI64" s="556"/>
      <c r="AJ64" s="556"/>
      <c r="AK64" s="516"/>
      <c r="AL64" s="516"/>
    </row>
    <row r="65" spans="2:38" s="517" customFormat="1" ht="14.25" customHeight="1">
      <c r="B65" s="572"/>
      <c r="C65" s="682" t="s">
        <v>313</v>
      </c>
      <c r="D65" s="559">
        <v>4934</v>
      </c>
      <c r="E65" s="558">
        <v>1011</v>
      </c>
      <c r="F65" s="558">
        <v>3922</v>
      </c>
      <c r="G65" s="558">
        <v>644</v>
      </c>
      <c r="H65" s="558">
        <v>86</v>
      </c>
      <c r="I65" s="558">
        <v>129</v>
      </c>
      <c r="J65" s="558">
        <v>1183</v>
      </c>
      <c r="K65" s="558">
        <v>1137</v>
      </c>
      <c r="L65" s="558">
        <v>1545</v>
      </c>
      <c r="M65" s="558">
        <v>210</v>
      </c>
      <c r="N65" s="339"/>
      <c r="P65" s="541"/>
      <c r="Q65" s="550">
        <f t="shared" ref="Q65:Q68" si="10">G65/D65</f>
        <v>0.13052290231049857</v>
      </c>
      <c r="R65" s="550">
        <f t="shared" ref="R65:R68" si="11">L65/D65</f>
        <v>0.31313336035670858</v>
      </c>
      <c r="S65" s="550">
        <f t="shared" ref="S65:S68" si="12">J65/D65</f>
        <v>0.23976489663558978</v>
      </c>
      <c r="T65" s="550">
        <f t="shared" ref="T65:T68" si="13">K65/D65</f>
        <v>0.23044183218483988</v>
      </c>
      <c r="W65" s="543">
        <v>44652</v>
      </c>
      <c r="X65" s="573">
        <v>4854</v>
      </c>
      <c r="Y65" s="574"/>
      <c r="Z65" s="575"/>
      <c r="AA65" s="555"/>
      <c r="AB65" s="556"/>
      <c r="AC65" s="556"/>
      <c r="AD65" s="556"/>
      <c r="AE65" s="556"/>
      <c r="AF65" s="556"/>
      <c r="AG65" s="556"/>
      <c r="AH65" s="556"/>
      <c r="AI65" s="556"/>
      <c r="AJ65" s="556"/>
      <c r="AK65" s="516"/>
      <c r="AL65" s="516"/>
    </row>
    <row r="66" spans="2:38" s="517" customFormat="1" ht="14.25" customHeight="1">
      <c r="B66" s="572"/>
      <c r="C66" s="682" t="s">
        <v>314</v>
      </c>
      <c r="D66" s="559">
        <v>4934</v>
      </c>
      <c r="E66" s="558">
        <v>954</v>
      </c>
      <c r="F66" s="558">
        <v>3980</v>
      </c>
      <c r="G66" s="558">
        <v>614</v>
      </c>
      <c r="H66" s="558">
        <v>74</v>
      </c>
      <c r="I66" s="558">
        <v>130</v>
      </c>
      <c r="J66" s="558">
        <v>1135</v>
      </c>
      <c r="K66" s="558">
        <v>1177</v>
      </c>
      <c r="L66" s="558">
        <v>1591</v>
      </c>
      <c r="M66" s="558">
        <v>213</v>
      </c>
      <c r="N66" s="339"/>
      <c r="P66" s="541"/>
      <c r="Q66" s="550">
        <f t="shared" si="10"/>
        <v>0.12444264288609648</v>
      </c>
      <c r="R66" s="550">
        <f t="shared" si="11"/>
        <v>0.32245642480745845</v>
      </c>
      <c r="S66" s="550">
        <f t="shared" si="12"/>
        <v>0.23003648155654641</v>
      </c>
      <c r="T66" s="550">
        <f t="shared" si="13"/>
        <v>0.23854884475070937</v>
      </c>
      <c r="W66" s="543">
        <v>44743</v>
      </c>
      <c r="X66" s="573">
        <v>4771</v>
      </c>
      <c r="Y66" s="574"/>
      <c r="Z66" s="575"/>
      <c r="AA66" s="555"/>
      <c r="AB66" s="556"/>
      <c r="AC66" s="556"/>
      <c r="AD66" s="556"/>
      <c r="AE66" s="556"/>
      <c r="AF66" s="556"/>
      <c r="AG66" s="556"/>
      <c r="AH66" s="556"/>
      <c r="AI66" s="556"/>
      <c r="AJ66" s="556"/>
      <c r="AK66" s="516"/>
      <c r="AL66" s="516"/>
    </row>
    <row r="67" spans="2:38" s="517" customFormat="1" ht="14.25" customHeight="1">
      <c r="B67" s="572"/>
      <c r="C67" s="682" t="s">
        <v>315</v>
      </c>
      <c r="D67" s="559">
        <v>4891</v>
      </c>
      <c r="E67" s="558">
        <v>845</v>
      </c>
      <c r="F67" s="558">
        <v>4046</v>
      </c>
      <c r="G67" s="558">
        <v>519</v>
      </c>
      <c r="H67" s="558">
        <v>61</v>
      </c>
      <c r="I67" s="558">
        <v>117</v>
      </c>
      <c r="J67" s="558">
        <v>1088</v>
      </c>
      <c r="K67" s="558">
        <v>1165</v>
      </c>
      <c r="L67" s="558">
        <v>1682</v>
      </c>
      <c r="M67" s="558">
        <v>259</v>
      </c>
      <c r="N67" s="339"/>
      <c r="P67" s="541"/>
      <c r="Q67" s="550">
        <f t="shared" si="10"/>
        <v>0.10611326927008792</v>
      </c>
      <c r="R67" s="550">
        <f t="shared" si="11"/>
        <v>0.34389695358822325</v>
      </c>
      <c r="S67" s="550">
        <f t="shared" si="12"/>
        <v>0.22244939685135964</v>
      </c>
      <c r="T67" s="550">
        <f t="shared" si="13"/>
        <v>0.2381925986505827</v>
      </c>
      <c r="W67" s="543">
        <v>44835</v>
      </c>
      <c r="X67" s="573">
        <v>4653</v>
      </c>
      <c r="Y67" s="574"/>
      <c r="Z67" s="575"/>
      <c r="AA67" s="555"/>
      <c r="AB67" s="556"/>
      <c r="AC67" s="556"/>
      <c r="AD67" s="556"/>
      <c r="AE67" s="556"/>
      <c r="AF67" s="556"/>
      <c r="AG67" s="556"/>
      <c r="AH67" s="556"/>
      <c r="AI67" s="556"/>
      <c r="AJ67" s="556"/>
      <c r="AK67" s="516"/>
      <c r="AL67" s="516"/>
    </row>
    <row r="68" spans="2:38" s="517" customFormat="1" ht="20.5" customHeight="1">
      <c r="B68" s="572"/>
      <c r="C68" s="682" t="s">
        <v>316</v>
      </c>
      <c r="D68" s="559">
        <v>5122</v>
      </c>
      <c r="E68" s="558">
        <v>868</v>
      </c>
      <c r="F68" s="558">
        <v>4250</v>
      </c>
      <c r="G68" s="558">
        <v>521</v>
      </c>
      <c r="H68" s="558">
        <v>61</v>
      </c>
      <c r="I68" s="558">
        <v>156</v>
      </c>
      <c r="J68" s="558">
        <v>1076</v>
      </c>
      <c r="K68" s="558">
        <v>1247</v>
      </c>
      <c r="L68" s="558">
        <v>1800</v>
      </c>
      <c r="M68" s="558">
        <v>261</v>
      </c>
      <c r="N68" s="339"/>
      <c r="O68" s="517" t="s">
        <v>316</v>
      </c>
      <c r="P68" s="541"/>
      <c r="Q68" s="550">
        <f t="shared" si="10"/>
        <v>0.10171807887543928</v>
      </c>
      <c r="R68" s="550">
        <f t="shared" si="11"/>
        <v>0.35142522452167124</v>
      </c>
      <c r="S68" s="550">
        <f t="shared" si="12"/>
        <v>0.21007418976962125</v>
      </c>
      <c r="T68" s="550">
        <f t="shared" si="13"/>
        <v>0.24345958609918</v>
      </c>
      <c r="U68" s="517" t="s">
        <v>316</v>
      </c>
      <c r="W68" s="543">
        <v>44927</v>
      </c>
      <c r="X68" s="573">
        <v>4808</v>
      </c>
      <c r="Y68" s="574"/>
      <c r="Z68" s="575"/>
      <c r="AA68" s="555"/>
      <c r="AB68" s="556"/>
      <c r="AC68" s="556"/>
      <c r="AD68" s="556"/>
      <c r="AE68" s="556"/>
      <c r="AF68" s="556"/>
      <c r="AG68" s="556"/>
      <c r="AH68" s="556"/>
      <c r="AI68" s="556"/>
      <c r="AJ68" s="556"/>
      <c r="AK68" s="516"/>
      <c r="AL68" s="516"/>
    </row>
    <row r="69" spans="2:38" s="517" customFormat="1" ht="14.25" customHeight="1">
      <c r="B69" s="572"/>
      <c r="C69" s="682" t="s">
        <v>317</v>
      </c>
      <c r="D69" s="559">
        <v>4936</v>
      </c>
      <c r="E69" s="558">
        <v>933</v>
      </c>
      <c r="F69" s="558">
        <v>4000</v>
      </c>
      <c r="G69" s="558">
        <v>526</v>
      </c>
      <c r="H69" s="558">
        <v>74</v>
      </c>
      <c r="I69" s="558">
        <v>133</v>
      </c>
      <c r="J69" s="558">
        <v>1192</v>
      </c>
      <c r="K69" s="558">
        <v>1111</v>
      </c>
      <c r="L69" s="558">
        <v>1646</v>
      </c>
      <c r="M69" s="558">
        <v>254</v>
      </c>
      <c r="N69" s="339"/>
      <c r="P69" s="541"/>
      <c r="Q69" s="550"/>
      <c r="R69" s="550"/>
      <c r="S69" s="550"/>
      <c r="T69" s="550"/>
      <c r="W69" s="543"/>
      <c r="X69" s="573"/>
      <c r="Y69" s="574"/>
      <c r="Z69" s="575"/>
      <c r="AA69" s="555"/>
      <c r="AB69" s="556"/>
      <c r="AC69" s="556"/>
      <c r="AD69" s="556"/>
      <c r="AE69" s="556"/>
      <c r="AF69" s="556"/>
      <c r="AG69" s="556"/>
      <c r="AH69" s="556"/>
      <c r="AI69" s="556"/>
      <c r="AJ69" s="556"/>
      <c r="AK69" s="516"/>
      <c r="AL69" s="516"/>
    </row>
    <row r="70" spans="2:38" s="517" customFormat="1" ht="14.25" customHeight="1">
      <c r="B70" s="572"/>
      <c r="C70" s="682" t="s">
        <v>318</v>
      </c>
      <c r="D70" s="559">
        <v>5139</v>
      </c>
      <c r="E70" s="558">
        <v>932</v>
      </c>
      <c r="F70" s="558">
        <v>4207</v>
      </c>
      <c r="G70" s="558">
        <v>521</v>
      </c>
      <c r="H70" s="558">
        <v>95</v>
      </c>
      <c r="I70" s="558">
        <v>114</v>
      </c>
      <c r="J70" s="558">
        <v>1237</v>
      </c>
      <c r="K70" s="558">
        <v>1242</v>
      </c>
      <c r="L70" s="558">
        <v>1663</v>
      </c>
      <c r="M70" s="558">
        <v>267</v>
      </c>
      <c r="N70" s="339"/>
      <c r="P70" s="541"/>
      <c r="Q70" s="550"/>
      <c r="R70" s="550"/>
      <c r="S70" s="550"/>
      <c r="T70" s="550"/>
      <c r="W70" s="543"/>
      <c r="X70" s="573"/>
      <c r="Y70" s="574"/>
      <c r="Z70" s="575"/>
      <c r="AA70" s="555"/>
      <c r="AB70" s="556"/>
      <c r="AC70" s="556"/>
      <c r="AD70" s="556"/>
      <c r="AE70" s="556"/>
      <c r="AF70" s="556"/>
      <c r="AG70" s="556"/>
      <c r="AH70" s="556"/>
      <c r="AI70" s="556"/>
      <c r="AJ70" s="556"/>
      <c r="AK70" s="516"/>
      <c r="AL70" s="516"/>
    </row>
    <row r="71" spans="2:38" s="517" customFormat="1" ht="14.25" customHeight="1">
      <c r="B71" s="572"/>
      <c r="C71" s="682" t="s">
        <v>319</v>
      </c>
      <c r="D71" s="559">
        <v>4812</v>
      </c>
      <c r="E71" s="558">
        <v>933</v>
      </c>
      <c r="F71" s="558">
        <v>3877</v>
      </c>
      <c r="G71" s="558">
        <v>508</v>
      </c>
      <c r="H71" s="558">
        <v>75</v>
      </c>
      <c r="I71" s="558">
        <v>117</v>
      </c>
      <c r="J71" s="558">
        <v>1212</v>
      </c>
      <c r="K71" s="558">
        <v>1200</v>
      </c>
      <c r="L71" s="558">
        <v>1413</v>
      </c>
      <c r="M71" s="558">
        <v>287</v>
      </c>
      <c r="N71" s="339"/>
      <c r="P71" s="541"/>
      <c r="Q71" s="550"/>
      <c r="R71" s="550"/>
      <c r="S71" s="550"/>
      <c r="T71" s="550"/>
      <c r="W71" s="543"/>
      <c r="X71" s="573"/>
      <c r="Y71" s="574"/>
      <c r="Z71" s="575"/>
      <c r="AA71" s="555"/>
      <c r="AB71" s="556"/>
      <c r="AC71" s="556"/>
      <c r="AD71" s="556"/>
      <c r="AE71" s="556"/>
      <c r="AF71" s="556"/>
      <c r="AG71" s="556"/>
      <c r="AH71" s="556"/>
      <c r="AI71" s="556"/>
      <c r="AJ71" s="556"/>
      <c r="AK71" s="516"/>
      <c r="AL71" s="516"/>
    </row>
    <row r="72" spans="2:38" s="517" customFormat="1" ht="20.5" customHeight="1">
      <c r="B72" s="572"/>
      <c r="C72" s="682" t="s">
        <v>320</v>
      </c>
      <c r="D72" s="559">
        <v>4994</v>
      </c>
      <c r="E72" s="558">
        <v>832</v>
      </c>
      <c r="F72" s="558">
        <v>4155</v>
      </c>
      <c r="G72" s="558">
        <v>458</v>
      </c>
      <c r="H72" s="558">
        <v>66</v>
      </c>
      <c r="I72" s="558">
        <v>128</v>
      </c>
      <c r="J72" s="558">
        <v>1149</v>
      </c>
      <c r="K72" s="558">
        <v>1217</v>
      </c>
      <c r="L72" s="558">
        <v>1678</v>
      </c>
      <c r="M72" s="558">
        <v>298</v>
      </c>
      <c r="N72" s="339"/>
      <c r="P72" s="541"/>
      <c r="Q72" s="550"/>
      <c r="R72" s="550"/>
      <c r="S72" s="550"/>
      <c r="T72" s="550"/>
      <c r="W72" s="543"/>
      <c r="X72" s="573"/>
      <c r="Y72" s="574"/>
      <c r="Z72" s="575"/>
      <c r="AA72" s="555"/>
      <c r="AB72" s="556"/>
      <c r="AC72" s="556"/>
      <c r="AD72" s="556"/>
      <c r="AE72" s="556"/>
      <c r="AF72" s="556"/>
      <c r="AG72" s="556"/>
      <c r="AH72" s="556"/>
      <c r="AI72" s="556"/>
      <c r="AJ72" s="556"/>
      <c r="AK72" s="516"/>
      <c r="AL72" s="516"/>
    </row>
    <row r="73" spans="2:38" s="517" customFormat="1" ht="14.25" customHeight="1">
      <c r="B73" s="572"/>
      <c r="C73" s="682" t="s">
        <v>321</v>
      </c>
      <c r="D73" s="559">
        <v>5200</v>
      </c>
      <c r="E73" s="558">
        <v>921</v>
      </c>
      <c r="F73" s="558">
        <v>4277</v>
      </c>
      <c r="G73" s="558">
        <v>562</v>
      </c>
      <c r="H73" s="558">
        <v>57</v>
      </c>
      <c r="I73" s="558">
        <v>110</v>
      </c>
      <c r="J73" s="558">
        <v>1194</v>
      </c>
      <c r="K73" s="558">
        <v>1269</v>
      </c>
      <c r="L73" s="558">
        <v>1672</v>
      </c>
      <c r="M73" s="558">
        <v>336</v>
      </c>
      <c r="N73" s="339"/>
      <c r="P73" s="541"/>
      <c r="Q73" s="550"/>
      <c r="R73" s="550"/>
      <c r="S73" s="550"/>
      <c r="T73" s="550"/>
      <c r="W73" s="543"/>
      <c r="X73" s="573"/>
      <c r="Y73" s="574"/>
      <c r="Z73" s="575"/>
      <c r="AA73" s="555"/>
      <c r="AB73" s="556"/>
      <c r="AC73" s="556"/>
      <c r="AD73" s="556"/>
      <c r="AE73" s="556"/>
      <c r="AF73" s="556"/>
      <c r="AG73" s="556"/>
      <c r="AH73" s="556"/>
      <c r="AI73" s="556"/>
      <c r="AJ73" s="556"/>
      <c r="AK73" s="516"/>
      <c r="AL73" s="516"/>
    </row>
    <row r="74" spans="2:38" s="517" customFormat="1" ht="14.25" customHeight="1">
      <c r="B74" s="572"/>
      <c r="C74" s="682" t="s">
        <v>400</v>
      </c>
      <c r="D74" s="559">
        <v>5353</v>
      </c>
      <c r="E74" s="558">
        <v>935</v>
      </c>
      <c r="F74" s="558">
        <v>4417</v>
      </c>
      <c r="G74" s="558">
        <v>537</v>
      </c>
      <c r="H74" s="558">
        <v>84</v>
      </c>
      <c r="I74" s="558">
        <v>120</v>
      </c>
      <c r="J74" s="558">
        <v>1165</v>
      </c>
      <c r="K74" s="558">
        <v>1327</v>
      </c>
      <c r="L74" s="558">
        <v>1744</v>
      </c>
      <c r="M74" s="558">
        <v>376</v>
      </c>
      <c r="N74" s="339"/>
      <c r="P74" s="541"/>
      <c r="Q74" s="550"/>
      <c r="R74" s="550"/>
      <c r="S74" s="550"/>
      <c r="T74" s="550"/>
      <c r="W74" s="543"/>
      <c r="X74" s="573"/>
      <c r="Y74" s="574"/>
      <c r="Z74" s="575"/>
      <c r="AA74" s="555"/>
      <c r="AB74" s="556"/>
      <c r="AC74" s="556"/>
      <c r="AD74" s="556"/>
      <c r="AE74" s="556"/>
      <c r="AF74" s="556"/>
      <c r="AG74" s="556"/>
      <c r="AH74" s="556"/>
      <c r="AI74" s="556"/>
      <c r="AJ74" s="556"/>
      <c r="AK74" s="516"/>
      <c r="AL74" s="516"/>
    </row>
    <row r="75" spans="2:38" s="517" customFormat="1" ht="14.25" customHeight="1">
      <c r="B75" s="572"/>
      <c r="C75" s="682" t="s">
        <v>401</v>
      </c>
      <c r="D75" s="559">
        <v>4982</v>
      </c>
      <c r="E75" s="558">
        <v>876</v>
      </c>
      <c r="F75" s="558">
        <v>4103</v>
      </c>
      <c r="G75" s="558">
        <v>490</v>
      </c>
      <c r="H75" s="558">
        <v>72</v>
      </c>
      <c r="I75" s="558">
        <v>110</v>
      </c>
      <c r="J75" s="558">
        <v>1124</v>
      </c>
      <c r="K75" s="558">
        <v>1317</v>
      </c>
      <c r="L75" s="558">
        <v>1504</v>
      </c>
      <c r="M75" s="558">
        <v>365</v>
      </c>
      <c r="N75" s="339"/>
      <c r="P75" s="541"/>
      <c r="Q75" s="550"/>
      <c r="R75" s="550"/>
      <c r="S75" s="550"/>
      <c r="T75" s="550"/>
      <c r="W75" s="543"/>
      <c r="X75" s="573"/>
      <c r="Y75" s="574"/>
      <c r="Z75" s="575"/>
      <c r="AA75" s="555"/>
      <c r="AB75" s="556"/>
      <c r="AC75" s="556"/>
      <c r="AD75" s="556"/>
      <c r="AE75" s="556"/>
      <c r="AF75" s="556"/>
      <c r="AG75" s="556"/>
      <c r="AH75" s="556"/>
      <c r="AI75" s="556"/>
      <c r="AJ75" s="556"/>
      <c r="AK75" s="516"/>
      <c r="AL75" s="516"/>
    </row>
    <row r="76" spans="2:38" s="517" customFormat="1" ht="14.25" customHeight="1">
      <c r="B76" s="572"/>
      <c r="C76" s="682" t="s">
        <v>402</v>
      </c>
      <c r="D76" s="559">
        <v>5219</v>
      </c>
      <c r="E76" s="558">
        <v>966</v>
      </c>
      <c r="F76" s="558">
        <v>4250</v>
      </c>
      <c r="G76" s="558">
        <v>474</v>
      </c>
      <c r="H76" s="558">
        <v>75</v>
      </c>
      <c r="I76" s="558">
        <v>114</v>
      </c>
      <c r="J76" s="558">
        <v>1237</v>
      </c>
      <c r="K76" s="558">
        <v>1293</v>
      </c>
      <c r="L76" s="558">
        <v>1484</v>
      </c>
      <c r="M76" s="558">
        <v>542</v>
      </c>
      <c r="N76" s="339"/>
      <c r="P76" s="541"/>
      <c r="Q76" s="550"/>
      <c r="R76" s="550"/>
      <c r="S76" s="550"/>
      <c r="T76" s="550"/>
      <c r="W76" s="543"/>
      <c r="X76" s="573"/>
      <c r="Y76" s="574"/>
      <c r="Z76" s="575"/>
      <c r="AA76" s="555"/>
      <c r="AB76" s="556"/>
      <c r="AC76" s="556"/>
      <c r="AD76" s="556"/>
      <c r="AE76" s="556"/>
      <c r="AF76" s="556"/>
      <c r="AG76" s="556"/>
      <c r="AH76" s="556"/>
      <c r="AI76" s="556"/>
      <c r="AJ76" s="556"/>
      <c r="AK76" s="516"/>
      <c r="AL76" s="516"/>
    </row>
    <row r="77" spans="2:38" s="517" customFormat="1" ht="6" customHeight="1">
      <c r="B77" s="572"/>
      <c r="C77" s="337"/>
      <c r="D77" s="577"/>
      <c r="E77" s="577"/>
      <c r="F77" s="577"/>
      <c r="G77" s="577"/>
      <c r="H77" s="577"/>
      <c r="I77" s="577"/>
      <c r="J77" s="577"/>
      <c r="K77" s="577"/>
      <c r="L77" s="339"/>
      <c r="M77" s="339"/>
      <c r="N77" s="339"/>
      <c r="O77" s="578"/>
      <c r="P77" s="578"/>
      <c r="Q77" s="578"/>
      <c r="R77" s="578"/>
      <c r="S77" s="578"/>
      <c r="T77" s="578"/>
      <c r="U77" s="578"/>
      <c r="W77" s="518"/>
      <c r="Z77" s="469"/>
      <c r="AA77" s="555"/>
      <c r="AB77" s="556"/>
      <c r="AC77" s="556"/>
      <c r="AD77" s="556"/>
      <c r="AE77" s="556"/>
      <c r="AF77" s="556"/>
      <c r="AG77" s="556"/>
      <c r="AH77" s="556"/>
      <c r="AI77" s="556"/>
      <c r="AJ77" s="556"/>
      <c r="AK77" s="516"/>
      <c r="AL77" s="516"/>
    </row>
    <row r="78" spans="2:38" s="517" customFormat="1" ht="12.75" customHeight="1">
      <c r="C78" s="736"/>
      <c r="D78" s="736"/>
      <c r="E78" s="736"/>
      <c r="F78" s="736"/>
      <c r="G78" s="736"/>
      <c r="H78" s="736"/>
      <c r="I78" s="736"/>
      <c r="J78" s="736"/>
      <c r="K78" s="736"/>
      <c r="L78" s="736"/>
      <c r="M78" s="736"/>
      <c r="N78" s="579"/>
      <c r="O78" s="579"/>
      <c r="P78" s="579"/>
      <c r="Q78" s="579"/>
      <c r="R78" s="579"/>
      <c r="S78" s="579"/>
      <c r="T78" s="579"/>
      <c r="U78" s="579"/>
      <c r="W78" s="518"/>
      <c r="Z78" s="469"/>
      <c r="AA78" s="555"/>
      <c r="AB78" s="556"/>
      <c r="AC78" s="556"/>
      <c r="AD78" s="556"/>
      <c r="AE78" s="556"/>
      <c r="AF78" s="556"/>
      <c r="AG78" s="556"/>
      <c r="AH78" s="556"/>
      <c r="AI78" s="556"/>
      <c r="AJ78" s="556"/>
      <c r="AK78" s="516"/>
      <c r="AL78" s="516"/>
    </row>
    <row r="79" spans="2:38" s="517" customFormat="1">
      <c r="C79" s="684"/>
      <c r="D79" s="580"/>
      <c r="E79" s="580"/>
      <c r="F79" s="580"/>
      <c r="G79" s="580"/>
      <c r="H79" s="580"/>
      <c r="I79" s="580"/>
      <c r="J79" s="580"/>
      <c r="K79" s="580"/>
      <c r="L79" s="581"/>
      <c r="M79" s="581"/>
      <c r="N79" s="581"/>
      <c r="O79" s="581"/>
      <c r="P79" s="581"/>
      <c r="Q79" s="581"/>
      <c r="R79" s="581"/>
      <c r="S79" s="581"/>
      <c r="T79" s="581"/>
      <c r="U79" s="581"/>
      <c r="W79" s="518"/>
      <c r="Z79" s="469"/>
      <c r="AA79" s="555"/>
      <c r="AB79" s="556"/>
      <c r="AC79" s="556"/>
      <c r="AD79" s="556"/>
      <c r="AE79" s="556"/>
      <c r="AF79" s="556"/>
      <c r="AG79" s="556"/>
      <c r="AH79" s="556"/>
      <c r="AI79" s="556"/>
      <c r="AJ79" s="556"/>
      <c r="AK79" s="516"/>
      <c r="AL79" s="516"/>
    </row>
    <row r="80" spans="2:38" ht="14">
      <c r="C80" s="67" t="s">
        <v>34</v>
      </c>
      <c r="D80" s="84"/>
      <c r="E80" s="84"/>
      <c r="F80" s="84"/>
      <c r="G80" s="84"/>
      <c r="H80" s="84"/>
      <c r="I80" s="84"/>
      <c r="J80" s="84"/>
      <c r="K80" s="84"/>
      <c r="L80" s="84"/>
      <c r="M80" s="84"/>
    </row>
    <row r="81" spans="3:29" ht="14">
      <c r="C81" s="67" t="s">
        <v>295</v>
      </c>
      <c r="D81" s="84"/>
      <c r="E81" s="84"/>
      <c r="F81" s="84"/>
      <c r="G81" s="84"/>
      <c r="H81" s="84"/>
      <c r="I81" s="84"/>
      <c r="J81" s="84"/>
      <c r="K81" s="84"/>
      <c r="L81" s="84"/>
      <c r="M81" s="84"/>
    </row>
    <row r="82" spans="3:29" ht="14">
      <c r="C82" s="67" t="s">
        <v>296</v>
      </c>
      <c r="D82" s="84"/>
      <c r="E82" s="84"/>
      <c r="F82" s="84"/>
      <c r="G82" s="84"/>
      <c r="H82" s="84"/>
      <c r="I82" s="84"/>
      <c r="J82" s="84"/>
      <c r="K82" s="84"/>
      <c r="L82" s="84"/>
      <c r="M82" s="84"/>
    </row>
    <row r="83" spans="3:29" ht="14.25" customHeight="1">
      <c r="C83" s="67" t="s">
        <v>297</v>
      </c>
      <c r="D83" s="333"/>
      <c r="E83" s="333"/>
      <c r="F83" s="333"/>
      <c r="G83" s="333"/>
      <c r="H83" s="333"/>
      <c r="I83" s="333"/>
      <c r="J83" s="333"/>
      <c r="K83" s="333"/>
      <c r="L83" s="333"/>
      <c r="M83" s="333"/>
    </row>
    <row r="84" spans="3:29" ht="14.25" customHeight="1">
      <c r="C84" s="67" t="s">
        <v>298</v>
      </c>
      <c r="D84" s="333"/>
      <c r="E84" s="333"/>
      <c r="F84" s="333"/>
      <c r="G84" s="333"/>
      <c r="H84" s="333"/>
      <c r="I84" s="333"/>
      <c r="J84" s="333"/>
      <c r="K84" s="333"/>
      <c r="L84" s="333"/>
      <c r="M84" s="333"/>
    </row>
    <row r="85" spans="3:29" ht="14.25" customHeight="1">
      <c r="C85" s="67" t="s">
        <v>299</v>
      </c>
      <c r="D85" s="333"/>
      <c r="E85" s="333"/>
      <c r="F85" s="333"/>
      <c r="G85" s="333"/>
      <c r="H85" s="333"/>
      <c r="I85" s="333"/>
      <c r="J85" s="333"/>
      <c r="K85" s="333"/>
      <c r="L85" s="333"/>
      <c r="M85" s="333"/>
    </row>
    <row r="86" spans="3:29" ht="14.25" customHeight="1">
      <c r="C86" s="67" t="s">
        <v>300</v>
      </c>
      <c r="D86" s="333"/>
      <c r="E86" s="333"/>
      <c r="F86" s="333"/>
      <c r="G86" s="333"/>
      <c r="H86" s="333"/>
      <c r="I86" s="333"/>
      <c r="J86" s="333"/>
      <c r="K86" s="333"/>
      <c r="L86" s="333"/>
      <c r="M86" s="333"/>
    </row>
    <row r="87" spans="3:29" ht="14">
      <c r="C87" s="67" t="s">
        <v>36</v>
      </c>
      <c r="D87" s="84"/>
      <c r="E87" s="84"/>
      <c r="F87" s="84"/>
      <c r="G87" s="84"/>
      <c r="H87" s="84"/>
      <c r="I87" s="84"/>
      <c r="J87" s="84"/>
      <c r="K87" s="84"/>
      <c r="L87" s="84"/>
      <c r="M87" s="84"/>
    </row>
    <row r="88" spans="3:29" ht="14">
      <c r="C88" s="685" t="s">
        <v>322</v>
      </c>
    </row>
    <row r="95" spans="3:29">
      <c r="AC95" s="516" t="s">
        <v>323</v>
      </c>
    </row>
    <row r="97" spans="28:38" ht="6" customHeight="1">
      <c r="AB97" s="596"/>
      <c r="AC97" s="596"/>
      <c r="AD97" s="596"/>
      <c r="AE97" s="596"/>
      <c r="AF97" s="596"/>
      <c r="AG97" s="596"/>
      <c r="AH97" s="596"/>
      <c r="AI97" s="596"/>
      <c r="AJ97" s="596"/>
      <c r="AK97" s="596"/>
      <c r="AL97" s="596"/>
    </row>
    <row r="98" spans="28:38" ht="19">
      <c r="AB98" s="596"/>
      <c r="AC98" s="738"/>
      <c r="AD98" s="738"/>
      <c r="AE98" s="738"/>
      <c r="AF98" s="738"/>
      <c r="AG98" s="738"/>
      <c r="AH98" s="738"/>
      <c r="AI98" s="738"/>
      <c r="AJ98" s="738"/>
      <c r="AK98" s="738"/>
      <c r="AL98" s="738"/>
    </row>
    <row r="99" spans="28:38" ht="18" customHeight="1">
      <c r="AB99" s="596"/>
      <c r="AC99" s="597"/>
      <c r="AD99" s="598"/>
      <c r="AE99" s="596"/>
      <c r="AF99" s="596"/>
      <c r="AG99" s="596"/>
      <c r="AH99" s="596"/>
      <c r="AI99" s="596"/>
      <c r="AJ99" s="596"/>
      <c r="AK99" s="596"/>
      <c r="AL99" s="596"/>
    </row>
    <row r="112" spans="28:38">
      <c r="AC112" s="517"/>
      <c r="AD112" s="517"/>
      <c r="AE112" s="517"/>
      <c r="AF112" s="517"/>
      <c r="AG112" s="517"/>
      <c r="AH112" s="517"/>
      <c r="AI112" s="517"/>
      <c r="AJ112" s="517"/>
      <c r="AK112" s="517"/>
      <c r="AL112" s="517"/>
    </row>
    <row r="113" ht="6" customHeight="1"/>
    <row r="136" spans="3:38" hidden="1"/>
    <row r="137" spans="3:38" s="517" customFormat="1" ht="14.25" hidden="1" customHeight="1">
      <c r="C137" s="737"/>
      <c r="D137" s="737"/>
      <c r="E137" s="737"/>
      <c r="F137" s="737"/>
      <c r="G137" s="737"/>
      <c r="H137" s="737"/>
      <c r="I137" s="737"/>
      <c r="J137" s="737"/>
      <c r="K137" s="737"/>
      <c r="L137" s="737"/>
      <c r="M137" s="737"/>
      <c r="N137" s="581"/>
      <c r="O137" s="581"/>
      <c r="P137" s="581"/>
      <c r="Q137" s="581"/>
      <c r="R137" s="581"/>
      <c r="S137" s="581"/>
      <c r="T137" s="581"/>
      <c r="U137" s="581"/>
      <c r="W137" s="518"/>
      <c r="Z137" s="582"/>
      <c r="AA137" s="555"/>
      <c r="AB137" s="556"/>
      <c r="AC137" s="556"/>
      <c r="AD137" s="556"/>
      <c r="AE137" s="556"/>
      <c r="AF137" s="556"/>
      <c r="AG137" s="556"/>
      <c r="AH137" s="556"/>
      <c r="AI137" s="556"/>
      <c r="AJ137" s="556"/>
      <c r="AK137" s="516"/>
      <c r="AL137" s="516"/>
    </row>
    <row r="138" spans="3:38" s="517" customFormat="1" hidden="1">
      <c r="C138" s="686" t="s">
        <v>324</v>
      </c>
      <c r="D138" s="583"/>
      <c r="E138" s="583"/>
      <c r="F138" s="583"/>
      <c r="G138" s="583"/>
      <c r="H138" s="583"/>
      <c r="I138" s="583"/>
      <c r="J138" s="584">
        <v>1776</v>
      </c>
      <c r="K138" s="584">
        <v>3490</v>
      </c>
      <c r="L138" s="585">
        <f>J138/K138</f>
        <v>0.50888252148997137</v>
      </c>
      <c r="N138" s="583"/>
      <c r="O138" s="583"/>
      <c r="P138" s="583"/>
      <c r="Q138" s="583"/>
      <c r="R138" s="583"/>
      <c r="S138" s="584"/>
      <c r="T138" s="584"/>
      <c r="U138" s="585"/>
      <c r="W138" s="518"/>
      <c r="Z138" s="565"/>
      <c r="AA138" s="555"/>
      <c r="AB138" s="556"/>
      <c r="AC138" s="556"/>
      <c r="AD138" s="556"/>
      <c r="AE138" s="556"/>
      <c r="AF138" s="556"/>
      <c r="AG138" s="556"/>
      <c r="AH138" s="556"/>
      <c r="AI138" s="556"/>
      <c r="AJ138" s="556"/>
      <c r="AK138" s="516"/>
      <c r="AL138" s="516"/>
    </row>
    <row r="139" spans="3:38" hidden="1">
      <c r="Z139" s="565"/>
      <c r="AA139" s="555"/>
      <c r="AB139" s="556"/>
      <c r="AC139" s="556"/>
      <c r="AD139" s="556"/>
      <c r="AE139" s="556"/>
      <c r="AF139" s="556"/>
      <c r="AG139" s="556"/>
      <c r="AH139" s="556"/>
      <c r="AI139" s="556"/>
      <c r="AJ139" s="556"/>
    </row>
    <row r="140" spans="3:38" hidden="1">
      <c r="C140" s="687" t="s">
        <v>325</v>
      </c>
      <c r="Z140" s="565"/>
      <c r="AA140" s="555"/>
      <c r="AB140" s="556"/>
      <c r="AC140" s="556"/>
      <c r="AD140" s="556"/>
      <c r="AE140" s="556"/>
      <c r="AF140" s="556"/>
      <c r="AG140" s="556"/>
      <c r="AH140" s="556"/>
      <c r="AI140" s="556"/>
      <c r="AJ140" s="556"/>
    </row>
    <row r="141" spans="3:38" hidden="1">
      <c r="C141" s="687" t="s">
        <v>326</v>
      </c>
      <c r="Z141" s="565"/>
      <c r="AA141" s="586"/>
      <c r="AB141" s="587"/>
      <c r="AC141" s="587"/>
      <c r="AD141" s="587"/>
      <c r="AE141" s="587"/>
      <c r="AF141" s="587"/>
      <c r="AG141" s="587"/>
      <c r="AH141" s="587"/>
      <c r="AI141" s="587"/>
      <c r="AJ141" s="587"/>
    </row>
    <row r="142" spans="3:38" ht="14.25" hidden="1" customHeight="1">
      <c r="D142" s="565"/>
      <c r="Z142" s="588"/>
      <c r="AA142" s="589"/>
      <c r="AB142" s="589"/>
      <c r="AC142" s="590"/>
      <c r="AD142" s="589"/>
      <c r="AE142" s="589"/>
      <c r="AF142" s="589"/>
      <c r="AG142" s="589"/>
      <c r="AH142" s="589"/>
      <c r="AI142" s="589"/>
      <c r="AJ142" s="589"/>
    </row>
    <row r="143" spans="3:38" ht="14" hidden="1">
      <c r="C143" s="688"/>
      <c r="D143" s="516" t="s">
        <v>327</v>
      </c>
      <c r="E143" s="591">
        <v>18553</v>
      </c>
      <c r="F143" s="568"/>
      <c r="H143" s="568"/>
      <c r="J143" s="568"/>
      <c r="L143" s="568"/>
    </row>
    <row r="144" spans="3:38" ht="14" hidden="1">
      <c r="H144" s="568"/>
      <c r="J144" s="568"/>
      <c r="L144" s="568"/>
    </row>
    <row r="145" spans="4:10" ht="6" hidden="1" customHeight="1"/>
    <row r="146" spans="4:10" hidden="1">
      <c r="E146" s="516" t="s">
        <v>309</v>
      </c>
      <c r="F146" s="516" t="s">
        <v>305</v>
      </c>
      <c r="G146" s="516" t="s">
        <v>328</v>
      </c>
      <c r="H146" s="516" t="s">
        <v>329</v>
      </c>
      <c r="J146" s="556">
        <f>SUM(D65:D68)</f>
        <v>19881</v>
      </c>
    </row>
    <row r="147" spans="4:10" ht="14" hidden="1">
      <c r="D147" s="592" t="s">
        <v>330</v>
      </c>
      <c r="E147" s="593">
        <f>SUM(E65:E68)</f>
        <v>3678</v>
      </c>
      <c r="F147" s="594">
        <v>1034</v>
      </c>
      <c r="G147" s="594">
        <v>1844</v>
      </c>
      <c r="H147" s="594">
        <v>217</v>
      </c>
    </row>
    <row r="148" spans="4:10" ht="14" hidden="1">
      <c r="D148" s="516" t="s">
        <v>331</v>
      </c>
      <c r="E148" s="593">
        <f>SUM(F65:F68)</f>
        <v>16198</v>
      </c>
      <c r="F148" s="595">
        <v>1032</v>
      </c>
      <c r="G148" s="594">
        <v>2620</v>
      </c>
      <c r="H148" s="594">
        <v>5435</v>
      </c>
    </row>
    <row r="149" spans="4:10" hidden="1"/>
    <row r="150" spans="4:10" hidden="1">
      <c r="D150" s="516" t="s">
        <v>332</v>
      </c>
    </row>
    <row r="151" spans="4:10" ht="14" hidden="1">
      <c r="D151" s="516" t="s">
        <v>333</v>
      </c>
      <c r="E151" s="568">
        <f>E147/($E$147+$E$148)</f>
        <v>0.1850472932179513</v>
      </c>
      <c r="F151" s="568">
        <f>F147/E147</f>
        <v>0.28113104948341489</v>
      </c>
      <c r="G151" s="568">
        <f>G147/E147</f>
        <v>0.50135943447525833</v>
      </c>
      <c r="H151" s="568">
        <f>H147/E147</f>
        <v>5.8999456226209897E-2</v>
      </c>
    </row>
    <row r="152" spans="4:10" ht="14" hidden="1">
      <c r="D152" s="516" t="s">
        <v>334</v>
      </c>
      <c r="E152" s="568">
        <f>E148/($E$147+$E$148)</f>
        <v>0.81495270678204867</v>
      </c>
      <c r="F152" s="568">
        <f>F148/E148</f>
        <v>6.3711569329546858E-2</v>
      </c>
      <c r="G152" s="568">
        <f>G148/E148</f>
        <v>0.16174836399555501</v>
      </c>
      <c r="H152" s="568">
        <f>H148/E148</f>
        <v>0.33553525126558836</v>
      </c>
    </row>
  </sheetData>
  <mergeCells count="5">
    <mergeCell ref="AD1:AJ1"/>
    <mergeCell ref="C4:M4"/>
    <mergeCell ref="C78:M78"/>
    <mergeCell ref="C137:M137"/>
    <mergeCell ref="AC98:AL98"/>
  </mergeCells>
  <hyperlinks>
    <hyperlink ref="C140" r:id="rId1" xr:uid="{8F12E3F0-F083-4AC5-BEAB-2BB443D3B9F9}"/>
    <hyperlink ref="C88" r:id="rId2" display="https://www.gov.uk/government/statistics/knife-and-offensive-weapon-sentencing-statistics-january-to-march-2023" xr:uid="{9D83B28C-3CFB-4817-B29E-3637625E8A9B}"/>
  </hyperlinks>
  <pageMargins left="0.7" right="0.7" top="0.75" bottom="0.75" header="0.3" footer="0.3"/>
  <pageSetup paperSize="9" orientation="portrait" horizontalDpi="1200" verticalDpi="1200"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9C35-45B8-4A60-B621-AED0AAABCDD1}">
  <sheetPr>
    <tabColor theme="4"/>
  </sheetPr>
  <dimension ref="A1:AE53"/>
  <sheetViews>
    <sheetView showGridLines="0" topLeftCell="B2" zoomScale="90" zoomScaleNormal="90" workbookViewId="0">
      <pane xSplit="2" ySplit="24" topLeftCell="D26" activePane="bottomRight" state="frozen"/>
      <selection pane="topRight" activeCell="D2" sqref="D2"/>
      <selection pane="bottomLeft" activeCell="B26" sqref="B26"/>
      <selection pane="bottomRight" activeCell="D7" sqref="D7"/>
    </sheetView>
  </sheetViews>
  <sheetFormatPr baseColWidth="10" defaultColWidth="9.1640625" defaultRowHeight="14"/>
  <cols>
    <col min="1" max="1" width="0" hidden="1" customWidth="1"/>
    <col min="2" max="2" width="1.5" style="599" customWidth="1"/>
    <col min="3" max="3" width="6.6640625" style="602" customWidth="1"/>
    <col min="4" max="4" width="10" style="602" customWidth="1"/>
    <col min="5" max="5" width="11.6640625" style="602" customWidth="1"/>
    <col min="6" max="6" width="1.33203125" style="602" customWidth="1"/>
    <col min="7" max="7" width="11.6640625" style="602" customWidth="1"/>
    <col min="8" max="8" width="1.33203125" style="602" customWidth="1"/>
    <col min="9" max="9" width="12" style="602" customWidth="1"/>
    <col min="10" max="10" width="1.1640625" style="602" customWidth="1"/>
    <col min="11" max="11" width="11.5" style="599" customWidth="1"/>
    <col min="12" max="12" width="15.83203125" style="599" customWidth="1"/>
    <col min="13" max="13" width="2.6640625" style="599" customWidth="1"/>
    <col min="14" max="14" width="9.1640625" style="599"/>
    <col min="15" max="15" width="12.33203125" style="599" customWidth="1"/>
    <col min="16" max="16" width="10.33203125" style="599" customWidth="1"/>
    <col min="17" max="17" width="9.1640625" style="599"/>
    <col min="18" max="18" width="10.6640625" style="599" customWidth="1"/>
    <col min="19" max="19" width="11.6640625" style="599" customWidth="1"/>
    <col min="20" max="20" width="9.1640625" style="599"/>
    <col min="21" max="21" width="16.83203125" style="599" customWidth="1"/>
    <col min="22" max="22" width="1.5" style="599" customWidth="1"/>
    <col min="23" max="23" width="0" style="599" hidden="1" customWidth="1"/>
    <col min="24" max="24" width="9.6640625" style="599" hidden="1" customWidth="1"/>
    <col min="25" max="36" width="0" style="599" hidden="1" customWidth="1"/>
    <col min="37" max="16384" width="9.1640625" style="599"/>
  </cols>
  <sheetData>
    <row r="1" spans="2:31" ht="15.75" hidden="1" customHeight="1">
      <c r="C1" s="600"/>
      <c r="D1" s="601"/>
      <c r="X1" s="601"/>
    </row>
    <row r="2" spans="2:31" ht="6" customHeight="1">
      <c r="B2" s="603"/>
      <c r="C2" s="604"/>
      <c r="D2" s="605"/>
      <c r="E2" s="606"/>
      <c r="F2" s="606"/>
      <c r="G2" s="606"/>
      <c r="H2" s="606"/>
      <c r="I2" s="606"/>
      <c r="J2" s="606"/>
      <c r="K2" s="603"/>
      <c r="L2" s="603"/>
      <c r="M2" s="603"/>
      <c r="N2" s="603"/>
      <c r="O2" s="603"/>
      <c r="P2" s="603"/>
      <c r="Q2" s="603"/>
      <c r="R2" s="603"/>
      <c r="S2" s="603"/>
      <c r="T2" s="603"/>
      <c r="U2" s="603"/>
      <c r="V2" s="603"/>
      <c r="X2" s="601"/>
    </row>
    <row r="3" spans="2:31" ht="18" customHeight="1">
      <c r="B3" s="603"/>
      <c r="C3" s="607" t="s">
        <v>335</v>
      </c>
      <c r="D3" s="608"/>
      <c r="E3" s="609"/>
      <c r="F3" s="609"/>
      <c r="G3" s="609"/>
      <c r="H3" s="609"/>
      <c r="I3" s="609"/>
      <c r="J3" s="609"/>
      <c r="K3" s="610"/>
      <c r="L3" s="610"/>
      <c r="M3" s="610"/>
      <c r="N3" s="610"/>
      <c r="O3" s="610"/>
      <c r="P3" s="610"/>
      <c r="Q3" s="610"/>
      <c r="R3" s="610"/>
      <c r="S3" s="610"/>
      <c r="T3" s="610"/>
      <c r="U3" s="610"/>
      <c r="V3" s="603"/>
      <c r="X3" s="601" t="s">
        <v>336</v>
      </c>
    </row>
    <row r="4" spans="2:31" ht="17.25" customHeight="1">
      <c r="B4" s="603"/>
      <c r="C4" s="611" t="s">
        <v>337</v>
      </c>
      <c r="D4" s="609"/>
      <c r="E4" s="609"/>
      <c r="F4" s="609"/>
      <c r="G4" s="609"/>
      <c r="H4" s="609"/>
      <c r="I4" s="609"/>
      <c r="J4" s="609"/>
      <c r="K4" s="612"/>
      <c r="L4" s="610"/>
      <c r="M4" s="610"/>
      <c r="N4" s="610"/>
      <c r="O4" s="610"/>
      <c r="P4" s="610"/>
      <c r="Q4" s="610"/>
      <c r="R4" s="610"/>
      <c r="S4" s="610"/>
      <c r="T4" s="610"/>
      <c r="U4" s="610"/>
      <c r="V4" s="603"/>
      <c r="X4" s="613" t="s">
        <v>338</v>
      </c>
      <c r="Y4" s="613"/>
      <c r="Z4" s="613"/>
      <c r="AA4" s="613"/>
      <c r="AB4" s="613"/>
      <c r="AC4" s="613"/>
      <c r="AD4" s="613"/>
    </row>
    <row r="5" spans="2:31" ht="16.5" customHeight="1">
      <c r="B5" s="614"/>
      <c r="C5" s="615"/>
      <c r="D5" s="615"/>
      <c r="E5" s="616"/>
      <c r="F5" s="616"/>
      <c r="G5" s="616"/>
      <c r="H5" s="616"/>
      <c r="I5" s="616"/>
      <c r="J5" s="617"/>
      <c r="K5" s="739" t="s">
        <v>235</v>
      </c>
      <c r="L5" s="739"/>
      <c r="M5" s="618"/>
      <c r="N5" s="740" t="s">
        <v>339</v>
      </c>
      <c r="O5" s="740"/>
      <c r="P5" s="740"/>
      <c r="Q5" s="740"/>
      <c r="R5" s="740"/>
      <c r="S5" s="740"/>
      <c r="T5" s="740"/>
      <c r="U5" s="618"/>
      <c r="V5" s="614"/>
      <c r="X5" s="619" t="s">
        <v>340</v>
      </c>
    </row>
    <row r="6" spans="2:31" ht="42" customHeight="1">
      <c r="B6" s="614"/>
      <c r="C6" s="620"/>
      <c r="D6" s="621" t="s">
        <v>341</v>
      </c>
      <c r="E6" s="622" t="s">
        <v>342</v>
      </c>
      <c r="F6" s="622"/>
      <c r="G6" s="622" t="s">
        <v>343</v>
      </c>
      <c r="H6" s="622"/>
      <c r="I6" s="622" t="s">
        <v>344</v>
      </c>
      <c r="J6" s="622"/>
      <c r="K6" s="622" t="s">
        <v>105</v>
      </c>
      <c r="L6" s="622" t="s">
        <v>345</v>
      </c>
      <c r="M6" s="623"/>
      <c r="N6" s="622" t="s">
        <v>346</v>
      </c>
      <c r="O6" s="622" t="s">
        <v>347</v>
      </c>
      <c r="P6" s="622" t="s">
        <v>348</v>
      </c>
      <c r="Q6" s="622" t="s">
        <v>349</v>
      </c>
      <c r="R6" s="622" t="s">
        <v>350</v>
      </c>
      <c r="S6" s="622" t="s">
        <v>351</v>
      </c>
      <c r="T6" s="622" t="s">
        <v>352</v>
      </c>
      <c r="U6" s="622" t="s">
        <v>353</v>
      </c>
      <c r="V6" s="614"/>
      <c r="W6" s="624"/>
      <c r="X6" s="601"/>
    </row>
    <row r="7" spans="2:31" ht="17.25" customHeight="1">
      <c r="B7" s="614"/>
      <c r="C7" s="616">
        <v>1991</v>
      </c>
      <c r="D7" s="625">
        <v>704</v>
      </c>
      <c r="E7" s="625">
        <v>2397</v>
      </c>
      <c r="F7" s="625"/>
      <c r="G7" s="625">
        <v>1737</v>
      </c>
      <c r="H7" s="625"/>
      <c r="I7" s="626">
        <v>1729</v>
      </c>
      <c r="J7" s="625"/>
      <c r="K7" s="625">
        <v>5</v>
      </c>
      <c r="L7" s="627">
        <f t="shared" ref="L7:L26" si="0">K7/(I7+D7)</f>
        <v>2.055076037813399E-3</v>
      </c>
      <c r="M7" s="618"/>
      <c r="N7" s="618">
        <v>2</v>
      </c>
      <c r="O7" s="618">
        <v>2</v>
      </c>
      <c r="P7" s="618">
        <v>1</v>
      </c>
      <c r="Q7" s="618">
        <v>0</v>
      </c>
      <c r="R7" s="618">
        <v>0</v>
      </c>
      <c r="S7" s="618">
        <v>0</v>
      </c>
      <c r="T7" s="618">
        <v>0</v>
      </c>
      <c r="U7" s="628">
        <v>4.34</v>
      </c>
      <c r="V7" s="614"/>
      <c r="W7" s="629"/>
    </row>
    <row r="8" spans="2:31" ht="15" customHeight="1">
      <c r="B8" s="614"/>
      <c r="C8" s="616">
        <v>1992</v>
      </c>
      <c r="D8" s="625">
        <v>1055</v>
      </c>
      <c r="E8" s="625">
        <v>2640</v>
      </c>
      <c r="F8" s="625"/>
      <c r="G8" s="625">
        <v>1848</v>
      </c>
      <c r="H8" s="625"/>
      <c r="I8" s="626">
        <v>1847</v>
      </c>
      <c r="J8" s="625"/>
      <c r="K8" s="625">
        <v>1</v>
      </c>
      <c r="L8" s="627">
        <f t="shared" si="0"/>
        <v>3.4458993797381116E-4</v>
      </c>
      <c r="M8" s="618"/>
      <c r="N8" s="618">
        <v>1</v>
      </c>
      <c r="O8" s="618">
        <v>0</v>
      </c>
      <c r="P8" s="618">
        <v>0</v>
      </c>
      <c r="Q8" s="618">
        <v>0</v>
      </c>
      <c r="R8" s="618">
        <v>0</v>
      </c>
      <c r="S8" s="618">
        <v>0</v>
      </c>
      <c r="T8" s="618">
        <v>0</v>
      </c>
      <c r="U8" s="628" t="s">
        <v>94</v>
      </c>
      <c r="V8" s="614"/>
      <c r="W8" s="629"/>
      <c r="X8" s="630"/>
      <c r="Y8" s="630"/>
      <c r="Z8" s="630"/>
      <c r="AA8" s="630"/>
      <c r="AB8" s="516"/>
      <c r="AC8" s="630"/>
      <c r="AD8" s="630"/>
      <c r="AE8" s="630"/>
    </row>
    <row r="9" spans="2:31">
      <c r="B9" s="614"/>
      <c r="C9" s="616">
        <v>1993</v>
      </c>
      <c r="D9" s="625">
        <v>1282</v>
      </c>
      <c r="E9" s="625">
        <v>2553</v>
      </c>
      <c r="F9" s="625"/>
      <c r="G9" s="625">
        <v>1852</v>
      </c>
      <c r="H9" s="625"/>
      <c r="I9" s="626">
        <v>1853</v>
      </c>
      <c r="J9" s="625"/>
      <c r="K9" s="625">
        <v>1</v>
      </c>
      <c r="L9" s="627">
        <f t="shared" si="0"/>
        <v>3.1897926634768739E-4</v>
      </c>
      <c r="M9" s="618"/>
      <c r="N9" s="618">
        <v>1</v>
      </c>
      <c r="O9" s="618">
        <v>0</v>
      </c>
      <c r="P9" s="618">
        <v>0</v>
      </c>
      <c r="Q9" s="618">
        <v>0</v>
      </c>
      <c r="R9" s="618">
        <v>0</v>
      </c>
      <c r="S9" s="618">
        <v>0</v>
      </c>
      <c r="T9" s="618">
        <v>0</v>
      </c>
      <c r="U9" s="628" t="s">
        <v>94</v>
      </c>
      <c r="V9" s="614"/>
      <c r="W9" s="629"/>
      <c r="X9" s="630"/>
      <c r="Y9" s="630"/>
      <c r="Z9" s="630"/>
      <c r="AA9" s="630"/>
      <c r="AB9" s="630"/>
      <c r="AC9" s="630"/>
      <c r="AD9" s="630"/>
      <c r="AE9" s="630"/>
    </row>
    <row r="10" spans="2:31">
      <c r="B10" s="614"/>
      <c r="C10" s="616">
        <v>1994</v>
      </c>
      <c r="D10" s="625">
        <v>1292</v>
      </c>
      <c r="E10" s="625">
        <v>3366</v>
      </c>
      <c r="F10" s="625"/>
      <c r="G10" s="625">
        <v>2502</v>
      </c>
      <c r="H10" s="625"/>
      <c r="I10" s="626">
        <v>2501</v>
      </c>
      <c r="J10" s="625"/>
      <c r="K10" s="625">
        <v>4</v>
      </c>
      <c r="L10" s="627">
        <f t="shared" si="0"/>
        <v>1.0545742156604272E-3</v>
      </c>
      <c r="M10" s="618"/>
      <c r="N10" s="618">
        <v>3</v>
      </c>
      <c r="O10" s="618">
        <v>1</v>
      </c>
      <c r="P10" s="618">
        <v>0</v>
      </c>
      <c r="Q10" s="618">
        <v>0</v>
      </c>
      <c r="R10" s="618">
        <v>0</v>
      </c>
      <c r="S10" s="618">
        <v>0</v>
      </c>
      <c r="T10" s="618">
        <v>0</v>
      </c>
      <c r="U10" s="628" t="s">
        <v>94</v>
      </c>
      <c r="V10" s="614"/>
      <c r="W10" s="629"/>
    </row>
    <row r="11" spans="2:31">
      <c r="B11" s="614"/>
      <c r="C11" s="616">
        <v>1995</v>
      </c>
      <c r="D11" s="625">
        <v>1512</v>
      </c>
      <c r="E11" s="625">
        <v>3474</v>
      </c>
      <c r="F11" s="625"/>
      <c r="G11" s="625">
        <v>2559</v>
      </c>
      <c r="H11" s="625"/>
      <c r="I11" s="626">
        <v>2558</v>
      </c>
      <c r="J11" s="625"/>
      <c r="K11" s="625">
        <v>5</v>
      </c>
      <c r="L11" s="627">
        <f t="shared" si="0"/>
        <v>1.2285012285012285E-3</v>
      </c>
      <c r="M11" s="618"/>
      <c r="N11" s="618">
        <v>4</v>
      </c>
      <c r="O11" s="618">
        <v>1</v>
      </c>
      <c r="P11" s="618">
        <v>0</v>
      </c>
      <c r="Q11" s="618">
        <v>0</v>
      </c>
      <c r="R11" s="618">
        <v>0</v>
      </c>
      <c r="S11" s="618">
        <v>0</v>
      </c>
      <c r="T11" s="618">
        <v>0</v>
      </c>
      <c r="U11" s="628">
        <v>1.7</v>
      </c>
      <c r="V11" s="614"/>
      <c r="W11" s="629"/>
    </row>
    <row r="12" spans="2:31" ht="21" customHeight="1">
      <c r="B12" s="614"/>
      <c r="C12" s="616">
        <v>1996</v>
      </c>
      <c r="D12" s="625">
        <v>1302</v>
      </c>
      <c r="E12" s="625">
        <v>3605</v>
      </c>
      <c r="F12" s="625">
        <v>3605</v>
      </c>
      <c r="G12" s="625">
        <v>2665</v>
      </c>
      <c r="H12" s="625"/>
      <c r="I12" s="626">
        <v>2666</v>
      </c>
      <c r="J12" s="625"/>
      <c r="K12" s="625">
        <v>62</v>
      </c>
      <c r="L12" s="627">
        <f t="shared" si="0"/>
        <v>1.5625E-2</v>
      </c>
      <c r="M12" s="618"/>
      <c r="N12" s="618">
        <v>52</v>
      </c>
      <c r="O12" s="618">
        <v>9</v>
      </c>
      <c r="P12" s="618">
        <v>0</v>
      </c>
      <c r="Q12" s="618">
        <v>0</v>
      </c>
      <c r="R12" s="618">
        <v>1</v>
      </c>
      <c r="S12" s="618">
        <v>0</v>
      </c>
      <c r="T12" s="618">
        <v>0</v>
      </c>
      <c r="U12" s="628">
        <v>2.4999999994623661</v>
      </c>
      <c r="V12" s="631"/>
      <c r="W12" s="629"/>
    </row>
    <row r="13" spans="2:31">
      <c r="B13" s="614"/>
      <c r="C13" s="616">
        <v>1997</v>
      </c>
      <c r="D13" s="625">
        <v>1629</v>
      </c>
      <c r="E13" s="625">
        <v>4489</v>
      </c>
      <c r="F13" s="625"/>
      <c r="G13" s="625">
        <v>3360</v>
      </c>
      <c r="H13" s="625"/>
      <c r="I13" s="626">
        <v>3360</v>
      </c>
      <c r="J13" s="625"/>
      <c r="K13" s="625">
        <v>375</v>
      </c>
      <c r="L13" s="627">
        <f t="shared" si="0"/>
        <v>7.516536380036079E-2</v>
      </c>
      <c r="M13" s="618"/>
      <c r="N13" s="618">
        <v>305</v>
      </c>
      <c r="O13" s="618">
        <v>59</v>
      </c>
      <c r="P13" s="618">
        <v>1</v>
      </c>
      <c r="Q13" s="618">
        <v>4</v>
      </c>
      <c r="R13" s="618">
        <v>6</v>
      </c>
      <c r="S13" s="618">
        <v>0</v>
      </c>
      <c r="T13" s="618">
        <v>0</v>
      </c>
      <c r="U13" s="628">
        <v>2.3999111099999997</v>
      </c>
      <c r="V13" s="631"/>
      <c r="W13" s="629"/>
    </row>
    <row r="14" spans="2:31">
      <c r="B14" s="614"/>
      <c r="C14" s="616">
        <v>1998</v>
      </c>
      <c r="D14" s="625">
        <v>1976</v>
      </c>
      <c r="E14" s="625">
        <v>4888</v>
      </c>
      <c r="F14" s="625"/>
      <c r="G14" s="625">
        <v>3805</v>
      </c>
      <c r="H14" s="625"/>
      <c r="I14" s="626">
        <v>3804</v>
      </c>
      <c r="J14" s="625"/>
      <c r="K14" s="625">
        <v>550</v>
      </c>
      <c r="L14" s="627">
        <f t="shared" si="0"/>
        <v>9.5155709342560554E-2</v>
      </c>
      <c r="M14" s="618"/>
      <c r="N14" s="618">
        <v>429</v>
      </c>
      <c r="O14" s="618">
        <v>99</v>
      </c>
      <c r="P14" s="618">
        <v>11</v>
      </c>
      <c r="Q14" s="618">
        <v>7</v>
      </c>
      <c r="R14" s="618">
        <v>2</v>
      </c>
      <c r="S14" s="618">
        <v>2</v>
      </c>
      <c r="T14" s="618">
        <v>0</v>
      </c>
      <c r="U14" s="628">
        <v>2.6430303033333331</v>
      </c>
      <c r="V14" s="631"/>
      <c r="W14" s="629"/>
    </row>
    <row r="15" spans="2:31">
      <c r="B15" s="614"/>
      <c r="C15" s="616">
        <v>1999</v>
      </c>
      <c r="D15" s="625">
        <v>1663</v>
      </c>
      <c r="E15" s="625">
        <v>4566</v>
      </c>
      <c r="F15" s="625"/>
      <c r="G15" s="625">
        <v>3548</v>
      </c>
      <c r="H15" s="625"/>
      <c r="I15" s="626">
        <v>3564</v>
      </c>
      <c r="J15" s="625"/>
      <c r="K15" s="625">
        <v>536</v>
      </c>
      <c r="L15" s="627">
        <f t="shared" si="0"/>
        <v>0.10254448058159556</v>
      </c>
      <c r="M15" s="618"/>
      <c r="N15" s="618">
        <v>411</v>
      </c>
      <c r="O15" s="618">
        <v>110</v>
      </c>
      <c r="P15" s="618">
        <v>8</v>
      </c>
      <c r="Q15" s="618">
        <v>3</v>
      </c>
      <c r="R15" s="618">
        <v>4</v>
      </c>
      <c r="S15" s="618">
        <v>0</v>
      </c>
      <c r="T15" s="618">
        <v>0</v>
      </c>
      <c r="U15" s="628">
        <v>2.6202736333333334</v>
      </c>
      <c r="V15" s="631"/>
      <c r="W15" s="629"/>
    </row>
    <row r="16" spans="2:31">
      <c r="B16" s="614"/>
      <c r="C16" s="616">
        <v>2000</v>
      </c>
      <c r="D16" s="625">
        <v>1758</v>
      </c>
      <c r="E16" s="625">
        <v>4673</v>
      </c>
      <c r="F16" s="625"/>
      <c r="G16" s="625">
        <v>3555</v>
      </c>
      <c r="H16" s="625"/>
      <c r="I16" s="626">
        <v>3562</v>
      </c>
      <c r="J16" s="625"/>
      <c r="K16" s="625">
        <v>506</v>
      </c>
      <c r="L16" s="627">
        <f t="shared" si="0"/>
        <v>9.5112781954887218E-2</v>
      </c>
      <c r="M16" s="618"/>
      <c r="N16" s="618">
        <v>362</v>
      </c>
      <c r="O16" s="618">
        <v>131</v>
      </c>
      <c r="P16" s="618">
        <v>5</v>
      </c>
      <c r="Q16" s="618">
        <v>6</v>
      </c>
      <c r="R16" s="618">
        <v>1</v>
      </c>
      <c r="S16" s="618">
        <v>1</v>
      </c>
      <c r="T16" s="618">
        <v>0</v>
      </c>
      <c r="U16" s="628">
        <v>2.7513833999999999</v>
      </c>
      <c r="V16" s="631"/>
      <c r="W16" s="629"/>
    </row>
    <row r="17" spans="2:31" ht="21" customHeight="1">
      <c r="B17" s="614"/>
      <c r="C17" s="616">
        <v>2001</v>
      </c>
      <c r="D17" s="625">
        <v>1652</v>
      </c>
      <c r="E17" s="625">
        <v>5823</v>
      </c>
      <c r="F17" s="625"/>
      <c r="G17" s="625">
        <v>4361</v>
      </c>
      <c r="H17" s="625"/>
      <c r="I17" s="626">
        <v>4364</v>
      </c>
      <c r="J17" s="625"/>
      <c r="K17" s="625">
        <v>592</v>
      </c>
      <c r="L17" s="627">
        <f t="shared" si="0"/>
        <v>9.8404255319148939E-2</v>
      </c>
      <c r="M17" s="618"/>
      <c r="N17" s="618">
        <v>419</v>
      </c>
      <c r="O17" s="618">
        <v>158</v>
      </c>
      <c r="P17" s="618">
        <v>9</v>
      </c>
      <c r="Q17" s="618">
        <v>1</v>
      </c>
      <c r="R17" s="618">
        <v>4</v>
      </c>
      <c r="S17" s="618">
        <v>1</v>
      </c>
      <c r="T17" s="618">
        <v>0</v>
      </c>
      <c r="U17" s="628">
        <v>2.7330518033333333</v>
      </c>
      <c r="V17" s="631"/>
      <c r="W17" s="629"/>
    </row>
    <row r="18" spans="2:31">
      <c r="B18" s="614"/>
      <c r="C18" s="616">
        <v>2002</v>
      </c>
      <c r="D18" s="625">
        <v>1805</v>
      </c>
      <c r="E18" s="625">
        <v>6963</v>
      </c>
      <c r="F18" s="625"/>
      <c r="G18" s="625">
        <v>5338</v>
      </c>
      <c r="H18" s="625"/>
      <c r="I18" s="626">
        <v>5326</v>
      </c>
      <c r="J18" s="625"/>
      <c r="K18" s="625">
        <v>773</v>
      </c>
      <c r="L18" s="627">
        <f t="shared" si="0"/>
        <v>0.10839994390688543</v>
      </c>
      <c r="M18" s="618"/>
      <c r="N18" s="618">
        <v>548</v>
      </c>
      <c r="O18" s="618">
        <v>188</v>
      </c>
      <c r="P18" s="618">
        <v>23</v>
      </c>
      <c r="Q18" s="618">
        <v>6</v>
      </c>
      <c r="R18" s="618">
        <v>7</v>
      </c>
      <c r="S18" s="618">
        <v>1</v>
      </c>
      <c r="T18" s="618">
        <v>0</v>
      </c>
      <c r="U18" s="628">
        <v>2.9408365666666669</v>
      </c>
      <c r="V18" s="631"/>
      <c r="W18" s="629"/>
    </row>
    <row r="19" spans="2:31">
      <c r="B19" s="614"/>
      <c r="C19" s="616">
        <v>2003</v>
      </c>
      <c r="D19" s="625">
        <v>1746</v>
      </c>
      <c r="E19" s="625">
        <v>6928</v>
      </c>
      <c r="F19" s="625"/>
      <c r="G19" s="625">
        <v>5396</v>
      </c>
      <c r="H19" s="625"/>
      <c r="I19" s="626">
        <v>5399</v>
      </c>
      <c r="J19" s="625"/>
      <c r="K19" s="625">
        <v>761</v>
      </c>
      <c r="L19" s="627">
        <f t="shared" si="0"/>
        <v>0.10650804758572428</v>
      </c>
      <c r="M19" s="618"/>
      <c r="N19" s="618">
        <v>530</v>
      </c>
      <c r="O19" s="618">
        <v>193</v>
      </c>
      <c r="P19" s="618">
        <v>20</v>
      </c>
      <c r="Q19" s="618">
        <v>10</v>
      </c>
      <c r="R19" s="618">
        <v>5</v>
      </c>
      <c r="S19" s="618">
        <v>3</v>
      </c>
      <c r="T19" s="618">
        <v>0</v>
      </c>
      <c r="U19" s="628">
        <v>2.9572492333333336</v>
      </c>
      <c r="V19" s="631"/>
      <c r="W19" s="629"/>
    </row>
    <row r="20" spans="2:31">
      <c r="B20" s="614"/>
      <c r="C20" s="616">
        <v>2004</v>
      </c>
      <c r="D20" s="625">
        <v>2374</v>
      </c>
      <c r="E20" s="625">
        <v>7352</v>
      </c>
      <c r="F20" s="625"/>
      <c r="G20" s="625">
        <v>5890</v>
      </c>
      <c r="H20" s="625"/>
      <c r="I20" s="626">
        <v>5908</v>
      </c>
      <c r="J20" s="625"/>
      <c r="K20" s="625">
        <v>815</v>
      </c>
      <c r="L20" s="627">
        <f t="shared" si="0"/>
        <v>9.8406182081622801E-2</v>
      </c>
      <c r="M20" s="618"/>
      <c r="N20" s="618">
        <v>553</v>
      </c>
      <c r="O20" s="618">
        <v>227</v>
      </c>
      <c r="P20" s="618">
        <v>26</v>
      </c>
      <c r="Q20" s="618">
        <v>4</v>
      </c>
      <c r="R20" s="618">
        <v>5</v>
      </c>
      <c r="S20" s="618">
        <v>0</v>
      </c>
      <c r="T20" s="618">
        <v>0</v>
      </c>
      <c r="U20" s="628">
        <v>2.9657668700000004</v>
      </c>
      <c r="V20" s="631"/>
      <c r="W20" s="629"/>
    </row>
    <row r="21" spans="2:31">
      <c r="B21" s="614"/>
      <c r="C21" s="616">
        <v>2005</v>
      </c>
      <c r="D21" s="625">
        <v>3154</v>
      </c>
      <c r="E21" s="625">
        <v>7319</v>
      </c>
      <c r="F21" s="625"/>
      <c r="G21" s="625">
        <v>6005</v>
      </c>
      <c r="H21" s="625"/>
      <c r="I21" s="626">
        <v>6002</v>
      </c>
      <c r="J21" s="625"/>
      <c r="K21" s="625">
        <v>970</v>
      </c>
      <c r="L21" s="627">
        <f t="shared" si="0"/>
        <v>0.10594145915246833</v>
      </c>
      <c r="M21" s="618"/>
      <c r="N21" s="618">
        <v>604</v>
      </c>
      <c r="O21" s="618">
        <v>306</v>
      </c>
      <c r="P21" s="618">
        <v>33</v>
      </c>
      <c r="Q21" s="618">
        <v>17</v>
      </c>
      <c r="R21" s="618">
        <v>9</v>
      </c>
      <c r="S21" s="618">
        <v>1</v>
      </c>
      <c r="T21" s="618">
        <v>0</v>
      </c>
      <c r="U21" s="628">
        <v>3.2227835066666666</v>
      </c>
      <c r="V21" s="631"/>
      <c r="W21" s="629"/>
    </row>
    <row r="22" spans="2:31" ht="21" customHeight="1">
      <c r="B22" s="614"/>
      <c r="C22" s="616">
        <v>2006</v>
      </c>
      <c r="D22" s="625">
        <v>3503</v>
      </c>
      <c r="E22" s="625">
        <v>7699</v>
      </c>
      <c r="F22" s="625"/>
      <c r="G22" s="625">
        <v>6369</v>
      </c>
      <c r="H22" s="625"/>
      <c r="I22" s="626">
        <v>6334</v>
      </c>
      <c r="J22" s="625"/>
      <c r="K22" s="625">
        <v>1075</v>
      </c>
      <c r="L22" s="632">
        <f t="shared" si="0"/>
        <v>0.10928128494459693</v>
      </c>
      <c r="M22" s="618"/>
      <c r="N22" s="618">
        <v>603</v>
      </c>
      <c r="O22" s="618">
        <v>308</v>
      </c>
      <c r="P22" s="625">
        <v>137</v>
      </c>
      <c r="Q22" s="618">
        <v>15</v>
      </c>
      <c r="R22" s="618">
        <v>9</v>
      </c>
      <c r="S22" s="618">
        <v>3</v>
      </c>
      <c r="T22" s="618">
        <v>0</v>
      </c>
      <c r="U22" s="633">
        <v>3.4359441860465112</v>
      </c>
      <c r="V22" s="631"/>
      <c r="W22" s="629"/>
    </row>
    <row r="23" spans="2:31" ht="15" customHeight="1">
      <c r="B23" s="614"/>
      <c r="C23" s="616">
        <v>2007</v>
      </c>
      <c r="D23" s="625">
        <v>3460</v>
      </c>
      <c r="E23" s="625">
        <v>7404</v>
      </c>
      <c r="F23" s="625"/>
      <c r="G23" s="625">
        <v>6169</v>
      </c>
      <c r="H23" s="625"/>
      <c r="I23" s="626">
        <v>6166</v>
      </c>
      <c r="J23" s="625"/>
      <c r="K23" s="625">
        <v>1065</v>
      </c>
      <c r="L23" s="632">
        <f t="shared" si="0"/>
        <v>0.11063785580718886</v>
      </c>
      <c r="M23" s="634"/>
      <c r="N23" s="618">
        <v>623</v>
      </c>
      <c r="O23" s="618">
        <v>265</v>
      </c>
      <c r="P23" s="625">
        <v>124</v>
      </c>
      <c r="Q23" s="618">
        <v>34</v>
      </c>
      <c r="R23" s="618">
        <v>12</v>
      </c>
      <c r="S23" s="618">
        <v>7</v>
      </c>
      <c r="T23" s="618">
        <v>0</v>
      </c>
      <c r="U23" s="633">
        <v>3.6379624413145537</v>
      </c>
      <c r="V23" s="631"/>
      <c r="W23" s="629"/>
    </row>
    <row r="24" spans="2:31" ht="15" customHeight="1">
      <c r="B24" s="614"/>
      <c r="C24" s="616">
        <v>2008</v>
      </c>
      <c r="D24" s="625">
        <v>2589</v>
      </c>
      <c r="E24" s="625">
        <v>7547</v>
      </c>
      <c r="F24" s="625"/>
      <c r="G24" s="625">
        <v>6368</v>
      </c>
      <c r="H24" s="625"/>
      <c r="I24" s="626">
        <v>6453</v>
      </c>
      <c r="J24" s="635"/>
      <c r="K24" s="625">
        <v>1377</v>
      </c>
      <c r="L24" s="632">
        <f t="shared" si="0"/>
        <v>0.15228931652289315</v>
      </c>
      <c r="M24" s="634"/>
      <c r="N24" s="634">
        <v>664</v>
      </c>
      <c r="O24" s="634">
        <v>342</v>
      </c>
      <c r="P24" s="625">
        <v>254</v>
      </c>
      <c r="Q24" s="634">
        <v>51</v>
      </c>
      <c r="R24" s="634">
        <v>37</v>
      </c>
      <c r="S24" s="634">
        <v>26</v>
      </c>
      <c r="T24" s="634">
        <v>3</v>
      </c>
      <c r="U24" s="636">
        <v>4.6605818181818179</v>
      </c>
      <c r="V24" s="631"/>
      <c r="W24" s="629"/>
    </row>
    <row r="25" spans="2:31" ht="15" customHeight="1">
      <c r="B25" s="614"/>
      <c r="C25" s="637">
        <v>2009</v>
      </c>
      <c r="D25" s="638">
        <v>1641</v>
      </c>
      <c r="E25" s="638">
        <v>9242</v>
      </c>
      <c r="F25" s="638"/>
      <c r="G25" s="638">
        <v>7652</v>
      </c>
      <c r="H25" s="638"/>
      <c r="I25" s="639">
        <v>7684</v>
      </c>
      <c r="J25" s="640"/>
      <c r="K25" s="638">
        <v>1675</v>
      </c>
      <c r="L25" s="641">
        <f t="shared" si="0"/>
        <v>0.17962466487935658</v>
      </c>
      <c r="M25" s="642"/>
      <c r="N25" s="642">
        <v>827</v>
      </c>
      <c r="O25" s="623">
        <v>370</v>
      </c>
      <c r="P25" s="638">
        <v>312</v>
      </c>
      <c r="Q25" s="642">
        <v>87</v>
      </c>
      <c r="R25" s="642">
        <v>54</v>
      </c>
      <c r="S25" s="642">
        <v>23</v>
      </c>
      <c r="T25" s="642">
        <v>2</v>
      </c>
      <c r="U25" s="643">
        <v>4.7389253731343279</v>
      </c>
      <c r="V25" s="631"/>
      <c r="W25" s="629"/>
    </row>
    <row r="26" spans="2:31" ht="15" customHeight="1">
      <c r="B26" s="614"/>
      <c r="C26" s="616">
        <v>2010</v>
      </c>
      <c r="D26" s="558">
        <v>1443</v>
      </c>
      <c r="E26" s="644">
        <v>8079</v>
      </c>
      <c r="F26" s="625"/>
      <c r="G26" s="644">
        <v>6540</v>
      </c>
      <c r="H26" s="625"/>
      <c r="I26" s="644">
        <v>6475</v>
      </c>
      <c r="J26" s="635"/>
      <c r="K26" s="558">
        <v>1413</v>
      </c>
      <c r="L26" s="632">
        <f t="shared" si="0"/>
        <v>0.17845415508966911</v>
      </c>
      <c r="M26" s="634"/>
      <c r="N26" s="558">
        <v>692</v>
      </c>
      <c r="O26" s="558">
        <v>308</v>
      </c>
      <c r="P26" s="558">
        <v>283</v>
      </c>
      <c r="Q26" s="558">
        <v>66</v>
      </c>
      <c r="R26" s="558">
        <v>38</v>
      </c>
      <c r="S26" s="558">
        <v>25</v>
      </c>
      <c r="T26" s="634">
        <v>0</v>
      </c>
      <c r="U26" s="645">
        <v>4.7880547686496726</v>
      </c>
      <c r="V26" s="631"/>
      <c r="W26" s="516"/>
    </row>
    <row r="27" spans="2:31" ht="21" customHeight="1">
      <c r="B27" s="614"/>
      <c r="C27" s="616">
        <v>2011</v>
      </c>
      <c r="D27" s="558">
        <v>1461</v>
      </c>
      <c r="E27" s="644">
        <v>7878</v>
      </c>
      <c r="F27" s="625"/>
      <c r="G27" s="644">
        <v>6398</v>
      </c>
      <c r="H27" s="625"/>
      <c r="I27" s="644">
        <v>6407</v>
      </c>
      <c r="J27" s="625"/>
      <c r="K27" s="558">
        <v>1585</v>
      </c>
      <c r="L27" s="632">
        <f>K27/(I27+D27)</f>
        <v>0.20144890696492121</v>
      </c>
      <c r="M27" s="634"/>
      <c r="N27" s="558">
        <v>778</v>
      </c>
      <c r="O27" s="558">
        <v>291</v>
      </c>
      <c r="P27" s="558">
        <v>334</v>
      </c>
      <c r="Q27" s="558">
        <v>80</v>
      </c>
      <c r="R27" s="558">
        <v>69</v>
      </c>
      <c r="S27" s="558">
        <v>32</v>
      </c>
      <c r="T27" s="625">
        <v>0</v>
      </c>
      <c r="U27" s="645">
        <v>5.0646043771043807</v>
      </c>
      <c r="V27" s="631"/>
      <c r="W27" s="629"/>
      <c r="X27" s="646"/>
      <c r="Y27" s="602"/>
      <c r="Z27" s="647"/>
      <c r="AA27" s="648"/>
      <c r="AB27" s="646"/>
      <c r="AE27" s="646"/>
    </row>
    <row r="28" spans="2:31" ht="15" customHeight="1">
      <c r="B28" s="614"/>
      <c r="C28" s="616">
        <v>2012</v>
      </c>
      <c r="D28" s="558">
        <v>1357</v>
      </c>
      <c r="E28" s="644">
        <v>6692</v>
      </c>
      <c r="F28" s="625"/>
      <c r="G28" s="644">
        <v>5349</v>
      </c>
      <c r="H28" s="625"/>
      <c r="I28" s="644">
        <v>5302</v>
      </c>
      <c r="J28" s="625"/>
      <c r="K28" s="558">
        <v>1327</v>
      </c>
      <c r="L28" s="632">
        <f t="shared" ref="L28:L31" si="1">K28/(I28+D28)</f>
        <v>0.1992791710467037</v>
      </c>
      <c r="M28" s="634"/>
      <c r="N28" s="558">
        <v>640</v>
      </c>
      <c r="O28" s="558">
        <v>253</v>
      </c>
      <c r="P28" s="558">
        <v>288</v>
      </c>
      <c r="Q28" s="558">
        <v>57</v>
      </c>
      <c r="R28" s="558">
        <v>60</v>
      </c>
      <c r="S28" s="558">
        <v>27</v>
      </c>
      <c r="T28" s="625">
        <v>1</v>
      </c>
      <c r="U28" s="645">
        <v>5.0928104575163378</v>
      </c>
      <c r="V28" s="631"/>
      <c r="W28" s="629"/>
      <c r="X28" s="646"/>
      <c r="Y28" s="602"/>
      <c r="Z28" s="647"/>
      <c r="AA28" s="648"/>
      <c r="AB28" s="646"/>
      <c r="AE28" s="646"/>
    </row>
    <row r="29" spans="2:31" ht="15" customHeight="1">
      <c r="B29" s="614"/>
      <c r="C29" s="616">
        <v>2013</v>
      </c>
      <c r="D29" s="558">
        <v>1067</v>
      </c>
      <c r="E29" s="644">
        <v>6846</v>
      </c>
      <c r="F29" s="625"/>
      <c r="G29" s="644">
        <v>5476</v>
      </c>
      <c r="H29" s="625"/>
      <c r="I29" s="644">
        <v>5439</v>
      </c>
      <c r="J29" s="625"/>
      <c r="K29" s="558">
        <v>1389</v>
      </c>
      <c r="L29" s="632">
        <f t="shared" si="1"/>
        <v>0.21349523516753766</v>
      </c>
      <c r="M29" s="618"/>
      <c r="N29" s="558">
        <v>624</v>
      </c>
      <c r="O29" s="558">
        <v>229</v>
      </c>
      <c r="P29" s="558">
        <v>341</v>
      </c>
      <c r="Q29" s="558">
        <v>86</v>
      </c>
      <c r="R29" s="558">
        <v>74</v>
      </c>
      <c r="S29" s="558">
        <v>34</v>
      </c>
      <c r="T29" s="625">
        <v>1</v>
      </c>
      <c r="U29" s="645">
        <v>5.5535637149028112</v>
      </c>
      <c r="V29" s="614"/>
      <c r="Y29" s="602"/>
      <c r="Z29" s="647"/>
      <c r="AA29" s="648"/>
    </row>
    <row r="30" spans="2:31" ht="15" customHeight="1">
      <c r="B30" s="614"/>
      <c r="C30" s="616">
        <v>2014</v>
      </c>
      <c r="D30" s="558">
        <v>1009</v>
      </c>
      <c r="E30" s="644">
        <v>7026</v>
      </c>
      <c r="F30" s="625"/>
      <c r="G30" s="644">
        <v>5733</v>
      </c>
      <c r="H30" s="625"/>
      <c r="I30" s="644">
        <v>5703</v>
      </c>
      <c r="J30" s="625"/>
      <c r="K30" s="558">
        <v>1480</v>
      </c>
      <c r="L30" s="632">
        <f t="shared" si="1"/>
        <v>0.22050059594755661</v>
      </c>
      <c r="M30" s="634"/>
      <c r="N30" s="558">
        <v>661</v>
      </c>
      <c r="O30" s="558">
        <v>223</v>
      </c>
      <c r="P30" s="558">
        <v>381</v>
      </c>
      <c r="Q30" s="558">
        <v>85</v>
      </c>
      <c r="R30" s="558">
        <v>79</v>
      </c>
      <c r="S30" s="558">
        <v>51</v>
      </c>
      <c r="T30" s="625">
        <v>0</v>
      </c>
      <c r="U30" s="645">
        <v>5.7916891891891913</v>
      </c>
      <c r="V30" s="631"/>
      <c r="W30" s="629"/>
      <c r="Y30" s="602"/>
      <c r="Z30" s="647"/>
      <c r="AA30" s="648"/>
    </row>
    <row r="31" spans="2:31" ht="15" customHeight="1">
      <c r="B31" s="614"/>
      <c r="C31" s="616">
        <v>2015</v>
      </c>
      <c r="D31" s="558">
        <v>974</v>
      </c>
      <c r="E31" s="644">
        <v>7402</v>
      </c>
      <c r="F31" s="625"/>
      <c r="G31" s="644">
        <v>6278</v>
      </c>
      <c r="H31" s="625"/>
      <c r="I31" s="644">
        <v>6267</v>
      </c>
      <c r="J31" s="625"/>
      <c r="K31" s="558">
        <v>1727</v>
      </c>
      <c r="L31" s="632">
        <f t="shared" si="1"/>
        <v>0.23850296920314873</v>
      </c>
      <c r="M31" s="618"/>
      <c r="N31" s="558">
        <v>622</v>
      </c>
      <c r="O31" s="558">
        <v>315</v>
      </c>
      <c r="P31" s="558">
        <v>522</v>
      </c>
      <c r="Q31" s="558">
        <v>128</v>
      </c>
      <c r="R31" s="558">
        <v>84</v>
      </c>
      <c r="S31" s="558">
        <v>54</v>
      </c>
      <c r="T31" s="625">
        <v>2</v>
      </c>
      <c r="U31" s="645">
        <v>6.0981277745608979</v>
      </c>
      <c r="V31" s="614"/>
      <c r="W31" s="629"/>
      <c r="Y31" s="602"/>
      <c r="Z31" s="647"/>
      <c r="AA31" s="648"/>
    </row>
    <row r="32" spans="2:31" ht="21" customHeight="1">
      <c r="B32" s="614"/>
      <c r="C32" s="616">
        <v>2016</v>
      </c>
      <c r="D32" s="558">
        <v>1088</v>
      </c>
      <c r="E32" s="644">
        <v>7944</v>
      </c>
      <c r="F32" s="625"/>
      <c r="G32" s="644">
        <v>6961</v>
      </c>
      <c r="H32" s="625"/>
      <c r="I32" s="644">
        <v>6986</v>
      </c>
      <c r="J32" s="625"/>
      <c r="K32" s="558">
        <v>2267</v>
      </c>
      <c r="L32" s="632">
        <v>0.28077780530096608</v>
      </c>
      <c r="M32" s="618"/>
      <c r="N32" s="558">
        <v>531</v>
      </c>
      <c r="O32" s="558">
        <v>484</v>
      </c>
      <c r="P32" s="558">
        <v>926</v>
      </c>
      <c r="Q32" s="558">
        <v>133</v>
      </c>
      <c r="R32" s="558">
        <v>121</v>
      </c>
      <c r="S32" s="558">
        <v>72</v>
      </c>
      <c r="T32" s="618">
        <v>0</v>
      </c>
      <c r="U32" s="645">
        <v>6.5</v>
      </c>
      <c r="V32" s="614"/>
      <c r="W32" s="593"/>
      <c r="Y32" s="602"/>
      <c r="Z32" s="647"/>
      <c r="AA32" s="648"/>
    </row>
    <row r="33" spans="2:27" ht="15" customHeight="1">
      <c r="B33" s="614"/>
      <c r="C33" s="616">
        <v>2017</v>
      </c>
      <c r="D33" s="558">
        <v>1079</v>
      </c>
      <c r="E33" s="644">
        <v>8288</v>
      </c>
      <c r="F33" s="625"/>
      <c r="G33" s="644">
        <v>7839</v>
      </c>
      <c r="H33" s="625"/>
      <c r="I33" s="644">
        <v>8158</v>
      </c>
      <c r="J33" s="625"/>
      <c r="K33" s="558">
        <v>2754</v>
      </c>
      <c r="L33" s="632">
        <v>0.29814874959402404</v>
      </c>
      <c r="M33" s="618"/>
      <c r="N33" s="558">
        <v>594</v>
      </c>
      <c r="O33" s="558">
        <v>600</v>
      </c>
      <c r="P33" s="558">
        <v>1180</v>
      </c>
      <c r="Q33" s="558">
        <v>163</v>
      </c>
      <c r="R33" s="558">
        <v>137</v>
      </c>
      <c r="S33" s="558">
        <v>77</v>
      </c>
      <c r="T33" s="618">
        <v>2</v>
      </c>
      <c r="U33" s="645">
        <v>6.5</v>
      </c>
      <c r="V33" s="614"/>
      <c r="W33" s="593"/>
      <c r="Y33" s="602"/>
      <c r="Z33" s="647"/>
      <c r="AA33" s="648"/>
    </row>
    <row r="34" spans="2:27" ht="15" customHeight="1">
      <c r="B34" s="614"/>
      <c r="C34" s="616">
        <v>2018</v>
      </c>
      <c r="D34" s="558">
        <v>1077</v>
      </c>
      <c r="E34" s="644">
        <v>8738</v>
      </c>
      <c r="F34" s="625"/>
      <c r="G34" s="644">
        <v>8200</v>
      </c>
      <c r="H34" s="625"/>
      <c r="I34" s="644">
        <v>8565</v>
      </c>
      <c r="J34" s="625"/>
      <c r="K34" s="558">
        <v>3174</v>
      </c>
      <c r="L34" s="632">
        <v>0.32918481642812697</v>
      </c>
      <c r="M34" s="618"/>
      <c r="N34" s="558">
        <v>439</v>
      </c>
      <c r="O34" s="558">
        <v>846</v>
      </c>
      <c r="P34" s="558">
        <v>1369</v>
      </c>
      <c r="Q34" s="558">
        <v>190</v>
      </c>
      <c r="R34" s="558">
        <v>226</v>
      </c>
      <c r="S34" s="558">
        <v>102</v>
      </c>
      <c r="T34" s="618">
        <v>2</v>
      </c>
      <c r="U34" s="645">
        <v>7.1</v>
      </c>
      <c r="V34" s="614"/>
      <c r="W34" s="593"/>
      <c r="X34" s="649"/>
      <c r="Y34" s="602"/>
      <c r="Z34" s="647"/>
      <c r="AA34" s="648"/>
    </row>
    <row r="35" spans="2:27" ht="15" customHeight="1">
      <c r="B35" s="614"/>
      <c r="C35" s="616">
        <v>2019</v>
      </c>
      <c r="D35" s="558">
        <v>1313</v>
      </c>
      <c r="E35" s="644">
        <v>9142</v>
      </c>
      <c r="F35" s="625"/>
      <c r="G35" s="644">
        <v>8610</v>
      </c>
      <c r="H35" s="625"/>
      <c r="I35" s="644">
        <v>8986</v>
      </c>
      <c r="J35" s="625"/>
      <c r="K35" s="558">
        <v>3453</v>
      </c>
      <c r="L35" s="632">
        <v>0.33527526944363528</v>
      </c>
      <c r="M35" s="618"/>
      <c r="N35" s="558">
        <v>373</v>
      </c>
      <c r="O35" s="558">
        <v>934</v>
      </c>
      <c r="P35" s="558">
        <v>1535</v>
      </c>
      <c r="Q35" s="558">
        <v>207</v>
      </c>
      <c r="R35" s="558">
        <v>298</v>
      </c>
      <c r="S35" s="558">
        <v>105</v>
      </c>
      <c r="T35" s="618">
        <v>1</v>
      </c>
      <c r="U35" s="645">
        <v>7.3</v>
      </c>
      <c r="V35" s="614"/>
      <c r="W35" s="593"/>
      <c r="X35" s="649"/>
      <c r="Y35" s="602"/>
      <c r="Z35" s="647"/>
      <c r="AA35" s="648"/>
    </row>
    <row r="36" spans="2:27" ht="15" customHeight="1">
      <c r="B36" s="614"/>
      <c r="C36" s="616">
        <v>2020</v>
      </c>
      <c r="D36" s="558">
        <v>1160</v>
      </c>
      <c r="E36" s="644">
        <v>7680</v>
      </c>
      <c r="F36" s="625"/>
      <c r="G36" s="644">
        <v>6952</v>
      </c>
      <c r="H36" s="625"/>
      <c r="I36" s="644">
        <v>7249</v>
      </c>
      <c r="J36" s="625"/>
      <c r="K36" s="558">
        <v>2507</v>
      </c>
      <c r="L36" s="632">
        <v>0.2981329527886788</v>
      </c>
      <c r="M36" s="618"/>
      <c r="N36" s="558">
        <v>236</v>
      </c>
      <c r="O36" s="558">
        <v>746</v>
      </c>
      <c r="P36" s="558">
        <v>1083</v>
      </c>
      <c r="Q36" s="558">
        <v>154</v>
      </c>
      <c r="R36" s="558">
        <v>217</v>
      </c>
      <c r="S36" s="558">
        <v>70</v>
      </c>
      <c r="T36" s="618">
        <v>1</v>
      </c>
      <c r="U36" s="645">
        <v>7.3</v>
      </c>
      <c r="V36" s="614"/>
      <c r="W36" s="593"/>
      <c r="X36" s="649"/>
      <c r="Y36" s="602"/>
      <c r="Z36" s="648"/>
      <c r="AA36" s="648"/>
    </row>
    <row r="37" spans="2:27" ht="15" customHeight="1">
      <c r="B37" s="614"/>
      <c r="C37" s="616">
        <v>2021</v>
      </c>
      <c r="D37" s="558">
        <v>1192</v>
      </c>
      <c r="E37" s="644">
        <v>8640</v>
      </c>
      <c r="F37" s="625"/>
      <c r="G37" s="644">
        <v>7879</v>
      </c>
      <c r="H37" s="625"/>
      <c r="I37" s="644">
        <v>8244</v>
      </c>
      <c r="J37" s="625"/>
      <c r="K37" s="558">
        <v>2470</v>
      </c>
      <c r="L37" s="632">
        <v>0.26176345909283594</v>
      </c>
      <c r="M37" s="618"/>
      <c r="N37" s="558">
        <v>239</v>
      </c>
      <c r="O37" s="558">
        <v>736</v>
      </c>
      <c r="P37" s="558">
        <v>1117</v>
      </c>
      <c r="Q37" s="558">
        <v>131</v>
      </c>
      <c r="R37" s="558">
        <v>174</v>
      </c>
      <c r="S37" s="558">
        <v>72</v>
      </c>
      <c r="T37" s="618">
        <v>1</v>
      </c>
      <c r="U37" s="645">
        <v>7.1</v>
      </c>
      <c r="V37" s="614"/>
      <c r="W37" s="593"/>
      <c r="X37" s="649"/>
      <c r="Y37" s="602"/>
      <c r="Z37" s="648"/>
      <c r="AA37" s="648"/>
    </row>
    <row r="38" spans="2:27" ht="15" customHeight="1">
      <c r="B38" s="614"/>
      <c r="C38" s="616">
        <v>2022</v>
      </c>
      <c r="D38" s="558">
        <v>1080</v>
      </c>
      <c r="E38" s="644">
        <v>8898</v>
      </c>
      <c r="F38" s="625"/>
      <c r="G38" s="644">
        <v>8207</v>
      </c>
      <c r="H38" s="625"/>
      <c r="I38" s="644">
        <v>8538</v>
      </c>
      <c r="J38" s="625"/>
      <c r="K38" s="558">
        <v>2661</v>
      </c>
      <c r="L38" s="632">
        <v>0.27666874610106051</v>
      </c>
      <c r="M38" s="618"/>
      <c r="N38" s="558">
        <v>226</v>
      </c>
      <c r="O38" s="558">
        <v>753</v>
      </c>
      <c r="P38" s="558">
        <v>1188</v>
      </c>
      <c r="Q38" s="558">
        <v>206</v>
      </c>
      <c r="R38" s="558">
        <v>197</v>
      </c>
      <c r="S38" s="558">
        <v>91</v>
      </c>
      <c r="T38" s="618">
        <v>1</v>
      </c>
      <c r="U38" s="645">
        <v>7.4</v>
      </c>
      <c r="V38" s="614"/>
      <c r="W38" s="593"/>
      <c r="X38" s="593"/>
      <c r="Y38" s="602"/>
      <c r="Z38" s="648"/>
      <c r="AA38" s="648"/>
    </row>
    <row r="39" spans="2:27" ht="15" customHeight="1">
      <c r="B39" s="614"/>
      <c r="C39" s="616">
        <v>2023</v>
      </c>
      <c r="D39" s="558">
        <v>823</v>
      </c>
      <c r="E39" s="644">
        <v>9473</v>
      </c>
      <c r="F39" s="625"/>
      <c r="G39" s="644">
        <v>8446</v>
      </c>
      <c r="H39" s="625"/>
      <c r="I39" s="644">
        <v>8569</v>
      </c>
      <c r="J39" s="625"/>
      <c r="K39" s="558">
        <v>2663</v>
      </c>
      <c r="L39" s="632">
        <v>0.28353918228279384</v>
      </c>
      <c r="M39" s="618"/>
      <c r="N39" s="558">
        <v>205</v>
      </c>
      <c r="O39" s="558">
        <v>859</v>
      </c>
      <c r="P39" s="558">
        <v>1175</v>
      </c>
      <c r="Q39" s="558">
        <v>133</v>
      </c>
      <c r="R39" s="558">
        <v>194</v>
      </c>
      <c r="S39" s="558">
        <v>95</v>
      </c>
      <c r="T39" s="618">
        <v>1</v>
      </c>
      <c r="U39" s="645">
        <v>7.2</v>
      </c>
      <c r="V39" s="614"/>
      <c r="W39" s="593"/>
      <c r="X39" s="593"/>
      <c r="Y39" s="602"/>
      <c r="Z39" s="648"/>
      <c r="AA39" s="648"/>
    </row>
    <row r="40" spans="2:27" ht="15" customHeight="1">
      <c r="B40" s="614"/>
      <c r="C40" s="616">
        <v>2024</v>
      </c>
      <c r="D40" s="558">
        <v>844</v>
      </c>
      <c r="E40" s="644">
        <v>9754</v>
      </c>
      <c r="F40" s="625"/>
      <c r="G40" s="644">
        <v>8662</v>
      </c>
      <c r="H40" s="625"/>
      <c r="I40" s="644">
        <v>8922</v>
      </c>
      <c r="J40" s="625"/>
      <c r="K40" s="558">
        <v>2775</v>
      </c>
      <c r="L40" s="632">
        <v>0.28414908867499489</v>
      </c>
      <c r="M40" s="618"/>
      <c r="N40" s="558">
        <v>240</v>
      </c>
      <c r="O40" s="558">
        <v>865</v>
      </c>
      <c r="P40" s="558">
        <v>1160</v>
      </c>
      <c r="Q40" s="558">
        <v>144</v>
      </c>
      <c r="R40" s="558">
        <v>246</v>
      </c>
      <c r="S40" s="558">
        <v>118</v>
      </c>
      <c r="T40" s="618">
        <v>2</v>
      </c>
      <c r="U40" s="645">
        <v>7.5</v>
      </c>
      <c r="V40" s="614"/>
      <c r="W40" s="593"/>
      <c r="X40" s="593"/>
      <c r="Y40" s="602"/>
      <c r="Z40" s="648"/>
      <c r="AA40" s="648"/>
    </row>
    <row r="41" spans="2:27" ht="6" customHeight="1">
      <c r="B41" s="614"/>
      <c r="C41" s="650"/>
      <c r="D41" s="651"/>
      <c r="E41" s="652"/>
      <c r="F41" s="652"/>
      <c r="G41" s="653"/>
      <c r="H41" s="652"/>
      <c r="I41" s="654"/>
      <c r="J41" s="650"/>
      <c r="K41" s="653"/>
      <c r="L41" s="655"/>
      <c r="M41" s="614"/>
      <c r="N41" s="614"/>
      <c r="O41" s="614"/>
      <c r="P41" s="614"/>
      <c r="Q41" s="614"/>
      <c r="R41" s="614"/>
      <c r="S41" s="614"/>
      <c r="T41" s="614"/>
      <c r="U41" s="656"/>
      <c r="V41" s="614"/>
      <c r="W41" s="593"/>
      <c r="X41" s="593"/>
    </row>
    <row r="42" spans="2:27" ht="6" customHeight="1">
      <c r="D42" s="657"/>
      <c r="E42" s="629"/>
      <c r="F42" s="629"/>
      <c r="G42" s="658"/>
      <c r="H42" s="629"/>
      <c r="I42" s="659"/>
      <c r="K42" s="658"/>
      <c r="L42" s="660"/>
      <c r="U42" s="661"/>
      <c r="W42" s="593"/>
      <c r="X42" s="593"/>
    </row>
    <row r="43" spans="2:27">
      <c r="C43" s="662" t="s">
        <v>34</v>
      </c>
      <c r="D43" s="663"/>
      <c r="E43" s="664"/>
      <c r="F43" s="664"/>
      <c r="G43" s="664"/>
      <c r="H43" s="664"/>
      <c r="I43" s="663"/>
      <c r="J43" s="663"/>
      <c r="K43" s="118"/>
      <c r="L43" s="118"/>
      <c r="M43" s="118"/>
      <c r="N43" s="118"/>
      <c r="O43" s="118"/>
      <c r="P43" s="118"/>
      <c r="Q43" s="118"/>
      <c r="R43" s="118"/>
      <c r="S43" s="118"/>
      <c r="T43" s="118"/>
      <c r="U43" s="118"/>
    </row>
    <row r="44" spans="2:27">
      <c r="C44" s="667" t="s">
        <v>354</v>
      </c>
      <c r="D44" s="667"/>
      <c r="E44" s="667"/>
      <c r="F44" s="667"/>
      <c r="G44" s="667"/>
      <c r="H44" s="667"/>
      <c r="I44" s="667"/>
      <c r="J44" s="667"/>
      <c r="K44" s="667"/>
      <c r="L44" s="667"/>
      <c r="M44" s="667"/>
      <c r="N44" s="667"/>
      <c r="O44" s="667"/>
      <c r="P44" s="667"/>
      <c r="Q44" s="667"/>
      <c r="R44" s="667"/>
      <c r="S44" s="667"/>
      <c r="T44" s="667"/>
      <c r="U44" s="667"/>
    </row>
    <row r="45" spans="2:27">
      <c r="C45" s="118" t="s">
        <v>355</v>
      </c>
      <c r="D45" s="118"/>
      <c r="E45" s="118"/>
      <c r="F45" s="118"/>
      <c r="G45" s="118"/>
      <c r="H45" s="118"/>
      <c r="I45" s="118"/>
      <c r="J45" s="118"/>
      <c r="K45" s="118"/>
      <c r="L45" s="118"/>
      <c r="M45" s="118"/>
      <c r="N45" s="118"/>
      <c r="O45" s="118"/>
      <c r="P45" s="118"/>
      <c r="Q45" s="118"/>
      <c r="R45" s="118"/>
      <c r="S45" s="118"/>
      <c r="T45" s="118"/>
      <c r="U45" s="118"/>
    </row>
    <row r="46" spans="2:27">
      <c r="C46" s="118" t="s">
        <v>356</v>
      </c>
      <c r="D46" s="118"/>
      <c r="E46" s="118"/>
      <c r="F46" s="118"/>
      <c r="G46" s="118"/>
      <c r="H46" s="118"/>
      <c r="I46" s="118"/>
      <c r="J46" s="118"/>
      <c r="K46" s="118"/>
      <c r="L46" s="118"/>
      <c r="M46" s="118"/>
      <c r="N46" s="118"/>
      <c r="O46" s="118"/>
      <c r="P46" s="118"/>
      <c r="Q46" s="118"/>
      <c r="R46" s="118"/>
      <c r="S46" s="118"/>
      <c r="T46" s="118"/>
      <c r="U46" s="118"/>
    </row>
    <row r="47" spans="2:27">
      <c r="C47" s="665" t="s">
        <v>357</v>
      </c>
      <c r="D47" s="665"/>
      <c r="E47" s="663"/>
      <c r="F47" s="663"/>
      <c r="G47" s="663"/>
      <c r="H47" s="663"/>
      <c r="I47" s="663"/>
      <c r="J47" s="663"/>
      <c r="K47" s="663"/>
      <c r="L47" s="118"/>
      <c r="M47" s="118"/>
      <c r="N47" s="118"/>
      <c r="O47" s="118"/>
      <c r="P47" s="118"/>
      <c r="Q47" s="118"/>
      <c r="R47" s="118"/>
      <c r="S47" s="118"/>
      <c r="T47" s="118"/>
      <c r="U47" s="118"/>
    </row>
    <row r="48" spans="2:27">
      <c r="C48" s="118" t="s">
        <v>358</v>
      </c>
      <c r="D48" s="118"/>
      <c r="E48" s="118"/>
      <c r="F48" s="118"/>
      <c r="G48" s="118"/>
      <c r="H48" s="118"/>
      <c r="I48" s="118"/>
      <c r="J48" s="118"/>
      <c r="K48" s="118"/>
      <c r="L48" s="118"/>
      <c r="M48" s="118"/>
      <c r="N48" s="118"/>
      <c r="O48" s="118"/>
      <c r="P48" s="118"/>
      <c r="Q48" s="118"/>
      <c r="R48" s="118"/>
      <c r="S48" s="118"/>
      <c r="T48" s="118"/>
      <c r="U48" s="118"/>
    </row>
    <row r="49" spans="3:21">
      <c r="C49" s="118" t="s">
        <v>359</v>
      </c>
      <c r="D49" s="118"/>
      <c r="E49" s="118"/>
      <c r="F49" s="118"/>
      <c r="G49" s="118"/>
      <c r="H49" s="118"/>
      <c r="I49" s="118"/>
      <c r="J49" s="118"/>
      <c r="K49" s="118"/>
      <c r="L49" s="118"/>
      <c r="M49" s="118"/>
      <c r="N49" s="118"/>
      <c r="O49" s="118"/>
      <c r="P49" s="118"/>
      <c r="Q49" s="118"/>
      <c r="R49" s="118"/>
      <c r="S49" s="118"/>
      <c r="T49" s="118"/>
      <c r="U49" s="118"/>
    </row>
    <row r="50" spans="3:21">
      <c r="C50" s="666" t="s">
        <v>360</v>
      </c>
      <c r="D50" s="666"/>
      <c r="E50" s="666"/>
      <c r="F50" s="666"/>
      <c r="G50" s="666"/>
      <c r="H50" s="666"/>
      <c r="I50" s="666"/>
      <c r="J50" s="666"/>
      <c r="K50" s="666"/>
      <c r="L50" s="666"/>
      <c r="M50" s="666"/>
      <c r="N50" s="666"/>
      <c r="O50" s="666"/>
      <c r="P50" s="666"/>
      <c r="Q50" s="666"/>
      <c r="R50" s="666"/>
      <c r="S50" s="666"/>
      <c r="T50" s="666"/>
      <c r="U50" s="666"/>
    </row>
    <row r="51" spans="3:21">
      <c r="C51" s="666"/>
      <c r="D51" s="666"/>
      <c r="E51" s="666"/>
      <c r="F51" s="666"/>
      <c r="G51" s="666"/>
      <c r="H51" s="666"/>
      <c r="I51" s="666"/>
      <c r="J51" s="666"/>
      <c r="K51" s="666"/>
      <c r="L51" s="666"/>
      <c r="M51" s="666"/>
      <c r="N51" s="666"/>
      <c r="O51" s="666"/>
      <c r="P51" s="666"/>
      <c r="Q51" s="666"/>
      <c r="R51" s="666"/>
      <c r="S51" s="666"/>
      <c r="T51" s="666"/>
      <c r="U51" s="666"/>
    </row>
    <row r="52" spans="3:21">
      <c r="C52" s="602" t="s">
        <v>36</v>
      </c>
    </row>
    <row r="53" spans="3:21">
      <c r="C53" s="420" t="s">
        <v>361</v>
      </c>
    </row>
  </sheetData>
  <mergeCells count="2">
    <mergeCell ref="K5:L5"/>
    <mergeCell ref="N5:T5"/>
  </mergeCells>
  <hyperlinks>
    <hyperlink ref="X5" r:id="rId1" xr:uid="{F617B424-4720-40BC-9796-DF8275E0B819}"/>
    <hyperlink ref="C53" r:id="rId2" display="https://www.gov.uk/government/statistics/knife-and-offensive-weapon-sentencing-statistics-january-to-march-2023" xr:uid="{F2F67255-8A0D-46A2-83DA-CE97143AFEC4}"/>
  </hyperlinks>
  <pageMargins left="0.75" right="0.75" top="1" bottom="1" header="0.5" footer="0.5"/>
  <pageSetup paperSize="9" orientation="portrait" r:id="rId3"/>
  <headerFooter alignWithMargins="0"/>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X51"/>
  <sheetViews>
    <sheetView zoomScale="90" zoomScaleNormal="90" zoomScaleSheetLayoutView="70" workbookViewId="0">
      <selection activeCell="B39" sqref="B39:T45"/>
    </sheetView>
  </sheetViews>
  <sheetFormatPr baseColWidth="10" defaultColWidth="9.1640625" defaultRowHeight="14.25" customHeight="1"/>
  <cols>
    <col min="1" max="1" width="1.5" style="38" customWidth="1"/>
    <col min="2" max="2" width="5.5" style="150" bestFit="1" customWidth="1"/>
    <col min="3" max="3" width="10" style="150" customWidth="1"/>
    <col min="4" max="4" width="11.6640625" style="150" customWidth="1"/>
    <col min="5" max="5" width="1.33203125" style="150" customWidth="1"/>
    <col min="6" max="6" width="11.6640625" style="150" customWidth="1"/>
    <col min="7" max="7" width="1.33203125" style="150" customWidth="1"/>
    <col min="8" max="8" width="12" style="150" customWidth="1"/>
    <col min="9" max="9" width="1.1640625" style="150" customWidth="1"/>
    <col min="10" max="10" width="11.5" style="38" customWidth="1"/>
    <col min="11" max="11" width="15.83203125" style="38" customWidth="1"/>
    <col min="12" max="12" width="2.6640625" style="38" customWidth="1"/>
    <col min="13" max="13" width="9.1640625" style="38"/>
    <col min="14" max="14" width="12.33203125" style="38" customWidth="1"/>
    <col min="15" max="15" width="10.33203125" style="38" customWidth="1"/>
    <col min="16" max="16" width="9.1640625" style="38"/>
    <col min="17" max="17" width="10.6640625" style="38" customWidth="1"/>
    <col min="18" max="18" width="10.33203125" style="38" customWidth="1"/>
    <col min="19" max="19" width="9.1640625" style="38"/>
    <col min="20" max="20" width="17.5" style="38" customWidth="1"/>
    <col min="21" max="21" width="1.5" style="38" customWidth="1"/>
    <col min="22" max="16384" width="9.1640625" style="38"/>
  </cols>
  <sheetData>
    <row r="1" spans="1:21" ht="6" customHeight="1">
      <c r="A1" s="125"/>
      <c r="B1" s="126"/>
      <c r="C1" s="127"/>
      <c r="D1" s="128"/>
      <c r="E1" s="128"/>
      <c r="F1" s="128"/>
      <c r="G1" s="128"/>
      <c r="H1" s="128"/>
      <c r="I1" s="128"/>
      <c r="J1" s="125"/>
      <c r="K1" s="125"/>
      <c r="L1" s="125"/>
      <c r="M1" s="125"/>
      <c r="N1" s="125"/>
      <c r="O1" s="125"/>
      <c r="P1" s="125"/>
      <c r="Q1" s="125"/>
      <c r="R1" s="125"/>
      <c r="S1" s="125"/>
      <c r="T1" s="125"/>
      <c r="U1" s="125"/>
    </row>
    <row r="2" spans="1:21" ht="19.5" customHeight="1">
      <c r="A2" s="125"/>
      <c r="B2" s="129" t="s">
        <v>362</v>
      </c>
      <c r="C2" s="32"/>
      <c r="D2" s="33"/>
      <c r="E2" s="33"/>
      <c r="F2" s="33"/>
      <c r="G2" s="33"/>
      <c r="H2" s="33"/>
      <c r="I2" s="33"/>
      <c r="J2" s="31"/>
      <c r="K2" s="31"/>
      <c r="L2" s="31"/>
      <c r="M2" s="31"/>
      <c r="N2" s="31"/>
      <c r="O2" s="31"/>
      <c r="P2" s="31"/>
      <c r="Q2" s="31"/>
      <c r="R2" s="31"/>
      <c r="S2" s="31"/>
      <c r="T2" s="31"/>
      <c r="U2" s="125"/>
    </row>
    <row r="3" spans="1:21" ht="20.5" customHeight="1">
      <c r="A3" s="125"/>
      <c r="B3" s="130" t="s">
        <v>363</v>
      </c>
      <c r="C3" s="33"/>
      <c r="D3" s="33"/>
      <c r="E3" s="33"/>
      <c r="F3" s="33"/>
      <c r="G3" s="33"/>
      <c r="H3" s="33"/>
      <c r="I3" s="33"/>
      <c r="J3" s="34"/>
      <c r="K3" s="31"/>
      <c r="L3" s="31"/>
      <c r="M3" s="31"/>
      <c r="N3" s="31"/>
      <c r="O3" s="31"/>
      <c r="P3" s="31"/>
      <c r="Q3" s="31"/>
      <c r="R3" s="31"/>
      <c r="S3" s="31"/>
      <c r="T3" s="31"/>
      <c r="U3" s="125"/>
    </row>
    <row r="4" spans="1:21" ht="6" customHeight="1">
      <c r="A4" s="125"/>
      <c r="B4" s="130"/>
      <c r="C4" s="33"/>
      <c r="D4" s="33"/>
      <c r="E4" s="33"/>
      <c r="F4" s="33"/>
      <c r="G4" s="33"/>
      <c r="H4" s="33"/>
      <c r="I4" s="33"/>
      <c r="J4" s="34"/>
      <c r="K4" s="31"/>
      <c r="L4" s="31"/>
      <c r="M4" s="31"/>
      <c r="N4" s="31"/>
      <c r="O4" s="31"/>
      <c r="P4" s="31"/>
      <c r="Q4" s="31"/>
      <c r="R4" s="31"/>
      <c r="S4" s="31"/>
      <c r="T4" s="31"/>
      <c r="U4" s="125"/>
    </row>
    <row r="5" spans="1:21" ht="16.5" customHeight="1">
      <c r="A5" s="79"/>
      <c r="B5" s="744"/>
      <c r="C5" s="135"/>
      <c r="D5" s="745" t="s">
        <v>342</v>
      </c>
      <c r="E5" s="136"/>
      <c r="F5" s="745" t="s">
        <v>343</v>
      </c>
      <c r="G5" s="136"/>
      <c r="H5" s="745" t="s">
        <v>364</v>
      </c>
      <c r="I5" s="137"/>
      <c r="J5" s="742" t="s">
        <v>235</v>
      </c>
      <c r="K5" s="742"/>
      <c r="L5" s="138"/>
      <c r="M5" s="743" t="s">
        <v>339</v>
      </c>
      <c r="N5" s="743"/>
      <c r="O5" s="743"/>
      <c r="P5" s="743"/>
      <c r="Q5" s="743"/>
      <c r="R5" s="743"/>
      <c r="S5" s="138"/>
      <c r="T5" s="138"/>
      <c r="U5" s="79"/>
    </row>
    <row r="6" spans="1:21" ht="46.5" customHeight="1">
      <c r="A6" s="79"/>
      <c r="B6" s="743"/>
      <c r="C6" s="139" t="s">
        <v>341</v>
      </c>
      <c r="D6" s="746"/>
      <c r="E6" s="140"/>
      <c r="F6" s="746"/>
      <c r="G6" s="140"/>
      <c r="H6" s="746"/>
      <c r="I6" s="140"/>
      <c r="J6" s="140" t="s">
        <v>105</v>
      </c>
      <c r="K6" s="140" t="s">
        <v>365</v>
      </c>
      <c r="L6" s="141"/>
      <c r="M6" s="140" t="s">
        <v>346</v>
      </c>
      <c r="N6" s="140" t="s">
        <v>347</v>
      </c>
      <c r="O6" s="140" t="s">
        <v>366</v>
      </c>
      <c r="P6" s="140" t="s">
        <v>349</v>
      </c>
      <c r="Q6" s="140" t="s">
        <v>350</v>
      </c>
      <c r="R6" s="140" t="s">
        <v>351</v>
      </c>
      <c r="S6" s="140" t="s">
        <v>352</v>
      </c>
      <c r="T6" s="140" t="s">
        <v>367</v>
      </c>
      <c r="U6" s="79"/>
    </row>
    <row r="7" spans="1:21" ht="16.5" customHeight="1">
      <c r="A7" s="79"/>
      <c r="B7" s="142">
        <v>1991</v>
      </c>
      <c r="C7" s="329">
        <v>704</v>
      </c>
      <c r="D7" s="329">
        <v>2397</v>
      </c>
      <c r="E7" s="329"/>
      <c r="F7" s="329">
        <v>1737</v>
      </c>
      <c r="G7" s="329"/>
      <c r="H7" s="329">
        <v>1729</v>
      </c>
      <c r="I7" s="329"/>
      <c r="J7" s="329">
        <v>5</v>
      </c>
      <c r="K7" s="144">
        <v>2.055076037813399E-3</v>
      </c>
      <c r="L7" s="138"/>
      <c r="M7" s="329">
        <v>2</v>
      </c>
      <c r="N7" s="329">
        <v>2</v>
      </c>
      <c r="O7" s="329">
        <v>1</v>
      </c>
      <c r="P7" s="329">
        <v>0</v>
      </c>
      <c r="Q7" s="329">
        <v>0</v>
      </c>
      <c r="R7" s="329">
        <v>0</v>
      </c>
      <c r="S7" s="329">
        <v>0</v>
      </c>
      <c r="T7" s="145">
        <v>4.34</v>
      </c>
      <c r="U7" s="79"/>
    </row>
    <row r="8" spans="1:21" ht="14.25" customHeight="1">
      <c r="A8" s="79"/>
      <c r="B8" s="142">
        <v>1992</v>
      </c>
      <c r="C8" s="329">
        <v>1055</v>
      </c>
      <c r="D8" s="329">
        <v>2640</v>
      </c>
      <c r="E8" s="329"/>
      <c r="F8" s="329">
        <v>1848</v>
      </c>
      <c r="G8" s="329"/>
      <c r="H8" s="329">
        <v>1847</v>
      </c>
      <c r="I8" s="329"/>
      <c r="J8" s="329">
        <v>1</v>
      </c>
      <c r="K8" s="144">
        <v>3.4458993797381116E-4</v>
      </c>
      <c r="L8" s="138"/>
      <c r="M8" s="329">
        <v>1</v>
      </c>
      <c r="N8" s="329">
        <v>0</v>
      </c>
      <c r="O8" s="329">
        <v>0</v>
      </c>
      <c r="P8" s="329">
        <v>0</v>
      </c>
      <c r="Q8" s="329">
        <v>0</v>
      </c>
      <c r="R8" s="329">
        <v>0</v>
      </c>
      <c r="S8" s="329">
        <v>0</v>
      </c>
      <c r="T8" s="145" t="s">
        <v>94</v>
      </c>
      <c r="U8" s="79"/>
    </row>
    <row r="9" spans="1:21" ht="14.25" customHeight="1">
      <c r="A9" s="79"/>
      <c r="B9" s="142">
        <v>1993</v>
      </c>
      <c r="C9" s="329">
        <v>1282</v>
      </c>
      <c r="D9" s="329">
        <v>2553</v>
      </c>
      <c r="E9" s="329"/>
      <c r="F9" s="329">
        <v>1852</v>
      </c>
      <c r="G9" s="329"/>
      <c r="H9" s="329">
        <v>1853</v>
      </c>
      <c r="I9" s="329"/>
      <c r="J9" s="329">
        <v>1</v>
      </c>
      <c r="K9" s="144">
        <v>3.1897926634768739E-4</v>
      </c>
      <c r="L9" s="138"/>
      <c r="M9" s="329">
        <v>1</v>
      </c>
      <c r="N9" s="329">
        <v>0</v>
      </c>
      <c r="O9" s="329">
        <v>0</v>
      </c>
      <c r="P9" s="329">
        <v>0</v>
      </c>
      <c r="Q9" s="329">
        <v>0</v>
      </c>
      <c r="R9" s="329">
        <v>0</v>
      </c>
      <c r="S9" s="329">
        <v>0</v>
      </c>
      <c r="T9" s="145" t="s">
        <v>94</v>
      </c>
      <c r="U9" s="79"/>
    </row>
    <row r="10" spans="1:21" ht="14.25" customHeight="1">
      <c r="A10" s="79"/>
      <c r="B10" s="142">
        <v>1994</v>
      </c>
      <c r="C10" s="329">
        <v>1292</v>
      </c>
      <c r="D10" s="329">
        <v>3366</v>
      </c>
      <c r="E10" s="329"/>
      <c r="F10" s="329">
        <v>2502</v>
      </c>
      <c r="G10" s="329"/>
      <c r="H10" s="329">
        <v>2501</v>
      </c>
      <c r="I10" s="329"/>
      <c r="J10" s="329">
        <v>4</v>
      </c>
      <c r="K10" s="144">
        <v>1.0545742156604272E-3</v>
      </c>
      <c r="L10" s="138"/>
      <c r="M10" s="329">
        <v>3</v>
      </c>
      <c r="N10" s="329">
        <v>1</v>
      </c>
      <c r="O10" s="329">
        <v>0</v>
      </c>
      <c r="P10" s="329">
        <v>0</v>
      </c>
      <c r="Q10" s="329">
        <v>0</v>
      </c>
      <c r="R10" s="329">
        <v>0</v>
      </c>
      <c r="S10" s="329">
        <v>0</v>
      </c>
      <c r="T10" s="145" t="s">
        <v>94</v>
      </c>
      <c r="U10" s="79"/>
    </row>
    <row r="11" spans="1:21" ht="14.25" customHeight="1">
      <c r="A11" s="79"/>
      <c r="B11" s="142">
        <v>1995</v>
      </c>
      <c r="C11" s="329">
        <v>1512</v>
      </c>
      <c r="D11" s="329">
        <v>3474</v>
      </c>
      <c r="E11" s="329"/>
      <c r="F11" s="329">
        <v>2559</v>
      </c>
      <c r="G11" s="329"/>
      <c r="H11" s="329">
        <v>2558</v>
      </c>
      <c r="I11" s="329"/>
      <c r="J11" s="329">
        <v>5</v>
      </c>
      <c r="K11" s="144">
        <v>1.2285012285012285E-3</v>
      </c>
      <c r="L11" s="138"/>
      <c r="M11" s="329">
        <v>4</v>
      </c>
      <c r="N11" s="329">
        <v>1</v>
      </c>
      <c r="O11" s="329">
        <v>0</v>
      </c>
      <c r="P11" s="329">
        <v>0</v>
      </c>
      <c r="Q11" s="329">
        <v>0</v>
      </c>
      <c r="R11" s="329">
        <v>0</v>
      </c>
      <c r="S11" s="329">
        <v>0</v>
      </c>
      <c r="T11" s="145">
        <v>1.7</v>
      </c>
      <c r="U11" s="79"/>
    </row>
    <row r="12" spans="1:21" ht="21" customHeight="1">
      <c r="A12" s="79"/>
      <c r="B12" s="142">
        <v>1996</v>
      </c>
      <c r="C12" s="329">
        <v>1302</v>
      </c>
      <c r="D12" s="329">
        <v>3605</v>
      </c>
      <c r="E12" s="329">
        <v>3605</v>
      </c>
      <c r="F12" s="329">
        <v>2665</v>
      </c>
      <c r="G12" s="329"/>
      <c r="H12" s="329">
        <v>2666</v>
      </c>
      <c r="I12" s="329"/>
      <c r="J12" s="329">
        <v>62</v>
      </c>
      <c r="K12" s="144">
        <v>1.5625E-2</v>
      </c>
      <c r="L12" s="138"/>
      <c r="M12" s="329">
        <v>52</v>
      </c>
      <c r="N12" s="329">
        <v>9</v>
      </c>
      <c r="O12" s="329">
        <v>0</v>
      </c>
      <c r="P12" s="329">
        <v>0</v>
      </c>
      <c r="Q12" s="329">
        <v>1</v>
      </c>
      <c r="R12" s="329">
        <v>0</v>
      </c>
      <c r="S12" s="329">
        <v>0</v>
      </c>
      <c r="T12" s="145">
        <v>2.4999999994623661</v>
      </c>
      <c r="U12" s="79"/>
    </row>
    <row r="13" spans="1:21" ht="14.25" customHeight="1">
      <c r="A13" s="79"/>
      <c r="B13" s="142">
        <v>1997</v>
      </c>
      <c r="C13" s="329">
        <v>1629</v>
      </c>
      <c r="D13" s="329">
        <v>4489</v>
      </c>
      <c r="E13" s="329"/>
      <c r="F13" s="329">
        <v>3360</v>
      </c>
      <c r="G13" s="329"/>
      <c r="H13" s="329">
        <v>3360</v>
      </c>
      <c r="I13" s="329"/>
      <c r="J13" s="329">
        <v>375</v>
      </c>
      <c r="K13" s="144">
        <v>7.516536380036079E-2</v>
      </c>
      <c r="L13" s="138"/>
      <c r="M13" s="329">
        <v>305</v>
      </c>
      <c r="N13" s="329">
        <v>59</v>
      </c>
      <c r="O13" s="329">
        <v>1</v>
      </c>
      <c r="P13" s="329">
        <v>4</v>
      </c>
      <c r="Q13" s="329">
        <v>6</v>
      </c>
      <c r="R13" s="329">
        <v>0</v>
      </c>
      <c r="S13" s="329">
        <v>0</v>
      </c>
      <c r="T13" s="145">
        <v>2.3999111099999997</v>
      </c>
      <c r="U13" s="79"/>
    </row>
    <row r="14" spans="1:21" ht="14.25" customHeight="1">
      <c r="A14" s="79"/>
      <c r="B14" s="142">
        <v>1998</v>
      </c>
      <c r="C14" s="329">
        <v>1976</v>
      </c>
      <c r="D14" s="329">
        <v>4888</v>
      </c>
      <c r="E14" s="329"/>
      <c r="F14" s="329">
        <v>3805</v>
      </c>
      <c r="G14" s="329"/>
      <c r="H14" s="329">
        <v>3804</v>
      </c>
      <c r="I14" s="329"/>
      <c r="J14" s="329">
        <v>550</v>
      </c>
      <c r="K14" s="144">
        <v>9.5155709342560554E-2</v>
      </c>
      <c r="L14" s="138"/>
      <c r="M14" s="329">
        <v>429</v>
      </c>
      <c r="N14" s="329">
        <v>99</v>
      </c>
      <c r="O14" s="329">
        <v>11</v>
      </c>
      <c r="P14" s="329">
        <v>7</v>
      </c>
      <c r="Q14" s="329">
        <v>2</v>
      </c>
      <c r="R14" s="329">
        <v>2</v>
      </c>
      <c r="S14" s="329">
        <v>0</v>
      </c>
      <c r="T14" s="145">
        <v>2.6430303033333331</v>
      </c>
      <c r="U14" s="79"/>
    </row>
    <row r="15" spans="1:21" ht="14.25" customHeight="1">
      <c r="A15" s="79"/>
      <c r="B15" s="142">
        <v>1999</v>
      </c>
      <c r="C15" s="329">
        <v>1663</v>
      </c>
      <c r="D15" s="329">
        <v>4566</v>
      </c>
      <c r="E15" s="329"/>
      <c r="F15" s="329">
        <v>3548</v>
      </c>
      <c r="G15" s="329"/>
      <c r="H15" s="329">
        <v>3564</v>
      </c>
      <c r="I15" s="329"/>
      <c r="J15" s="329">
        <v>536</v>
      </c>
      <c r="K15" s="144">
        <v>0.10254448058159556</v>
      </c>
      <c r="L15" s="138"/>
      <c r="M15" s="329">
        <v>411</v>
      </c>
      <c r="N15" s="329">
        <v>110</v>
      </c>
      <c r="O15" s="329">
        <v>8</v>
      </c>
      <c r="P15" s="329">
        <v>3</v>
      </c>
      <c r="Q15" s="329">
        <v>4</v>
      </c>
      <c r="R15" s="329">
        <v>0</v>
      </c>
      <c r="S15" s="329">
        <v>0</v>
      </c>
      <c r="T15" s="145">
        <v>2.6202736333333334</v>
      </c>
      <c r="U15" s="79"/>
    </row>
    <row r="16" spans="1:21" ht="14.25" customHeight="1">
      <c r="A16" s="79"/>
      <c r="B16" s="142">
        <v>2000</v>
      </c>
      <c r="C16" s="329">
        <v>1758</v>
      </c>
      <c r="D16" s="329">
        <v>4673</v>
      </c>
      <c r="E16" s="329"/>
      <c r="F16" s="329">
        <v>3555</v>
      </c>
      <c r="G16" s="329"/>
      <c r="H16" s="329">
        <v>3562</v>
      </c>
      <c r="I16" s="329"/>
      <c r="J16" s="329">
        <v>506</v>
      </c>
      <c r="K16" s="144">
        <v>9.5112781954887218E-2</v>
      </c>
      <c r="L16" s="138"/>
      <c r="M16" s="329">
        <v>362</v>
      </c>
      <c r="N16" s="329">
        <v>131</v>
      </c>
      <c r="O16" s="329">
        <v>5</v>
      </c>
      <c r="P16" s="329">
        <v>6</v>
      </c>
      <c r="Q16" s="329">
        <v>1</v>
      </c>
      <c r="R16" s="329">
        <v>1</v>
      </c>
      <c r="S16" s="329">
        <v>0</v>
      </c>
      <c r="T16" s="145">
        <v>2.7513833999999999</v>
      </c>
      <c r="U16" s="79"/>
    </row>
    <row r="17" spans="1:24" ht="21" customHeight="1">
      <c r="A17" s="79"/>
      <c r="B17" s="142">
        <v>2001</v>
      </c>
      <c r="C17" s="329">
        <v>1652</v>
      </c>
      <c r="D17" s="329">
        <v>5823</v>
      </c>
      <c r="E17" s="329"/>
      <c r="F17" s="329">
        <v>4361</v>
      </c>
      <c r="G17" s="329"/>
      <c r="H17" s="329">
        <v>4364</v>
      </c>
      <c r="I17" s="329"/>
      <c r="J17" s="329">
        <v>592</v>
      </c>
      <c r="K17" s="144">
        <v>9.8404255319148939E-2</v>
      </c>
      <c r="L17" s="138"/>
      <c r="M17" s="329">
        <v>419</v>
      </c>
      <c r="N17" s="329">
        <v>158</v>
      </c>
      <c r="O17" s="329">
        <v>9</v>
      </c>
      <c r="P17" s="329">
        <v>1</v>
      </c>
      <c r="Q17" s="329">
        <v>4</v>
      </c>
      <c r="R17" s="329">
        <v>1</v>
      </c>
      <c r="S17" s="329">
        <v>0</v>
      </c>
      <c r="T17" s="145">
        <v>2.7330518033333333</v>
      </c>
      <c r="U17" s="79"/>
    </row>
    <row r="18" spans="1:24" ht="14.25" customHeight="1">
      <c r="A18" s="79"/>
      <c r="B18" s="142">
        <v>2002</v>
      </c>
      <c r="C18" s="329">
        <v>1805</v>
      </c>
      <c r="D18" s="329">
        <v>6963</v>
      </c>
      <c r="E18" s="329"/>
      <c r="F18" s="329">
        <v>5338</v>
      </c>
      <c r="G18" s="329"/>
      <c r="H18" s="329">
        <v>5326</v>
      </c>
      <c r="I18" s="329"/>
      <c r="J18" s="329">
        <v>773</v>
      </c>
      <c r="K18" s="144">
        <v>0.10839994390688543</v>
      </c>
      <c r="L18" s="138"/>
      <c r="M18" s="329">
        <v>548</v>
      </c>
      <c r="N18" s="329">
        <v>188</v>
      </c>
      <c r="O18" s="329">
        <v>23</v>
      </c>
      <c r="P18" s="329">
        <v>6</v>
      </c>
      <c r="Q18" s="329">
        <v>7</v>
      </c>
      <c r="R18" s="329">
        <v>1</v>
      </c>
      <c r="S18" s="329">
        <v>0</v>
      </c>
      <c r="T18" s="145">
        <v>2.9408365666666669</v>
      </c>
      <c r="U18" s="79"/>
    </row>
    <row r="19" spans="1:24" ht="14.25" customHeight="1">
      <c r="A19" s="79"/>
      <c r="B19" s="142">
        <v>2003</v>
      </c>
      <c r="C19" s="329">
        <v>1746</v>
      </c>
      <c r="D19" s="329">
        <v>6928</v>
      </c>
      <c r="E19" s="329"/>
      <c r="F19" s="329">
        <v>5396</v>
      </c>
      <c r="G19" s="329"/>
      <c r="H19" s="329">
        <v>5399</v>
      </c>
      <c r="I19" s="329"/>
      <c r="J19" s="329">
        <v>761</v>
      </c>
      <c r="K19" s="144">
        <v>0.10650804758572428</v>
      </c>
      <c r="L19" s="138"/>
      <c r="M19" s="329">
        <v>530</v>
      </c>
      <c r="N19" s="329">
        <v>193</v>
      </c>
      <c r="O19" s="329">
        <v>20</v>
      </c>
      <c r="P19" s="329">
        <v>10</v>
      </c>
      <c r="Q19" s="329">
        <v>5</v>
      </c>
      <c r="R19" s="329">
        <v>3</v>
      </c>
      <c r="S19" s="329">
        <v>0</v>
      </c>
      <c r="T19" s="145">
        <v>2.9572492333333336</v>
      </c>
      <c r="U19" s="79"/>
    </row>
    <row r="20" spans="1:24" ht="14.25" customHeight="1">
      <c r="A20" s="79"/>
      <c r="B20" s="142">
        <v>2004</v>
      </c>
      <c r="C20" s="329">
        <v>2374</v>
      </c>
      <c r="D20" s="329">
        <v>7352</v>
      </c>
      <c r="E20" s="329"/>
      <c r="F20" s="329">
        <v>5890</v>
      </c>
      <c r="G20" s="329"/>
      <c r="H20" s="329">
        <v>5908</v>
      </c>
      <c r="I20" s="329"/>
      <c r="J20" s="329">
        <v>815</v>
      </c>
      <c r="K20" s="144">
        <v>9.8406182081622801E-2</v>
      </c>
      <c r="L20" s="138"/>
      <c r="M20" s="329">
        <v>553</v>
      </c>
      <c r="N20" s="329">
        <v>227</v>
      </c>
      <c r="O20" s="329">
        <v>26</v>
      </c>
      <c r="P20" s="329">
        <v>4</v>
      </c>
      <c r="Q20" s="329">
        <v>5</v>
      </c>
      <c r="R20" s="329">
        <v>0</v>
      </c>
      <c r="S20" s="329">
        <v>0</v>
      </c>
      <c r="T20" s="145">
        <v>2.9657668700000004</v>
      </c>
      <c r="U20" s="79"/>
    </row>
    <row r="21" spans="1:24" ht="14.25" customHeight="1">
      <c r="A21" s="79"/>
      <c r="B21" s="142">
        <v>2005</v>
      </c>
      <c r="C21" s="329">
        <v>3154</v>
      </c>
      <c r="D21" s="329">
        <v>7319</v>
      </c>
      <c r="E21" s="329"/>
      <c r="F21" s="329">
        <v>6005</v>
      </c>
      <c r="G21" s="329"/>
      <c r="H21" s="329">
        <v>6002</v>
      </c>
      <c r="I21" s="329"/>
      <c r="J21" s="329">
        <v>970</v>
      </c>
      <c r="K21" s="144">
        <v>0.10594145915246833</v>
      </c>
      <c r="L21" s="138"/>
      <c r="M21" s="329">
        <v>604</v>
      </c>
      <c r="N21" s="329">
        <v>306</v>
      </c>
      <c r="O21" s="329">
        <v>33</v>
      </c>
      <c r="P21" s="329">
        <v>17</v>
      </c>
      <c r="Q21" s="329">
        <v>9</v>
      </c>
      <c r="R21" s="329">
        <v>1</v>
      </c>
      <c r="S21" s="329">
        <v>0</v>
      </c>
      <c r="T21" s="145">
        <v>3.2227835066666666</v>
      </c>
      <c r="U21" s="79"/>
    </row>
    <row r="22" spans="1:24" ht="21" customHeight="1">
      <c r="A22" s="79"/>
      <c r="B22" s="142">
        <v>2006</v>
      </c>
      <c r="C22" s="329">
        <v>3503</v>
      </c>
      <c r="D22" s="329">
        <v>7699</v>
      </c>
      <c r="E22" s="329"/>
      <c r="F22" s="329">
        <v>6369</v>
      </c>
      <c r="G22" s="329"/>
      <c r="H22" s="329">
        <v>6334</v>
      </c>
      <c r="I22" s="329"/>
      <c r="J22" s="329">
        <v>1075</v>
      </c>
      <c r="K22" s="144">
        <v>0.10928128494459693</v>
      </c>
      <c r="L22" s="138"/>
      <c r="M22" s="329">
        <v>603</v>
      </c>
      <c r="N22" s="329">
        <v>308</v>
      </c>
      <c r="O22" s="329">
        <v>137</v>
      </c>
      <c r="P22" s="329">
        <v>15</v>
      </c>
      <c r="Q22" s="329">
        <v>9</v>
      </c>
      <c r="R22" s="329">
        <v>3</v>
      </c>
      <c r="S22" s="329">
        <v>0</v>
      </c>
      <c r="T22" s="146">
        <v>3.4359441860465112</v>
      </c>
      <c r="U22" s="79"/>
    </row>
    <row r="23" spans="1:24" ht="14.25" customHeight="1">
      <c r="A23" s="79"/>
      <c r="B23" s="142">
        <v>2007</v>
      </c>
      <c r="C23" s="329">
        <v>3460</v>
      </c>
      <c r="D23" s="329">
        <v>7404</v>
      </c>
      <c r="E23" s="329"/>
      <c r="F23" s="329">
        <v>6169</v>
      </c>
      <c r="G23" s="329"/>
      <c r="H23" s="329">
        <v>6166</v>
      </c>
      <c r="I23" s="329"/>
      <c r="J23" s="329">
        <v>1065</v>
      </c>
      <c r="K23" s="144">
        <v>0.11063785580718886</v>
      </c>
      <c r="L23" s="138"/>
      <c r="M23" s="329">
        <v>623</v>
      </c>
      <c r="N23" s="329">
        <v>265</v>
      </c>
      <c r="O23" s="329">
        <v>124</v>
      </c>
      <c r="P23" s="329">
        <v>34</v>
      </c>
      <c r="Q23" s="329">
        <v>12</v>
      </c>
      <c r="R23" s="329">
        <v>7</v>
      </c>
      <c r="S23" s="329">
        <v>0</v>
      </c>
      <c r="T23" s="146">
        <v>3.6379624413145537</v>
      </c>
      <c r="U23" s="79"/>
    </row>
    <row r="24" spans="1:24" ht="14.25" customHeight="1">
      <c r="A24" s="79"/>
      <c r="B24" s="142">
        <v>2008</v>
      </c>
      <c r="C24" s="329">
        <v>2589</v>
      </c>
      <c r="D24" s="329">
        <v>7547</v>
      </c>
      <c r="E24" s="329"/>
      <c r="F24" s="329">
        <v>6368</v>
      </c>
      <c r="G24" s="329"/>
      <c r="H24" s="329">
        <v>6453</v>
      </c>
      <c r="I24" s="329"/>
      <c r="J24" s="329">
        <v>1377</v>
      </c>
      <c r="K24" s="144">
        <v>0.15228931652289315</v>
      </c>
      <c r="L24" s="147"/>
      <c r="M24" s="329">
        <v>664</v>
      </c>
      <c r="N24" s="329">
        <v>342</v>
      </c>
      <c r="O24" s="329">
        <v>254</v>
      </c>
      <c r="P24" s="329">
        <v>51</v>
      </c>
      <c r="Q24" s="329">
        <v>37</v>
      </c>
      <c r="R24" s="329">
        <v>26</v>
      </c>
      <c r="S24" s="329">
        <v>3</v>
      </c>
      <c r="T24" s="148">
        <v>4.6605818181818179</v>
      </c>
      <c r="U24" s="79"/>
    </row>
    <row r="25" spans="1:24" ht="14.25" customHeight="1">
      <c r="A25" s="79"/>
      <c r="B25" s="142">
        <v>2009</v>
      </c>
      <c r="C25" s="329">
        <v>1641</v>
      </c>
      <c r="D25" s="329">
        <v>9242</v>
      </c>
      <c r="E25" s="329"/>
      <c r="F25" s="329">
        <v>7652</v>
      </c>
      <c r="G25" s="329"/>
      <c r="H25" s="329">
        <v>7684</v>
      </c>
      <c r="I25" s="329"/>
      <c r="J25" s="329">
        <v>1675</v>
      </c>
      <c r="K25" s="144">
        <v>0.17962466487935658</v>
      </c>
      <c r="L25" s="147"/>
      <c r="M25" s="329">
        <v>827</v>
      </c>
      <c r="N25" s="329">
        <v>370</v>
      </c>
      <c r="O25" s="329">
        <v>312</v>
      </c>
      <c r="P25" s="329">
        <v>87</v>
      </c>
      <c r="Q25" s="329">
        <v>54</v>
      </c>
      <c r="R25" s="329">
        <v>23</v>
      </c>
      <c r="S25" s="329">
        <v>2</v>
      </c>
      <c r="T25" s="148">
        <v>4.7389253731343279</v>
      </c>
      <c r="U25" s="79"/>
    </row>
    <row r="26" spans="1:24" ht="14.25" customHeight="1">
      <c r="A26" s="79"/>
      <c r="B26" s="142">
        <v>2010</v>
      </c>
      <c r="C26" s="347">
        <v>1715</v>
      </c>
      <c r="D26" s="329">
        <v>8079</v>
      </c>
      <c r="E26" s="329"/>
      <c r="F26" s="329">
        <v>6540</v>
      </c>
      <c r="G26" s="329"/>
      <c r="H26" s="329">
        <v>6475</v>
      </c>
      <c r="I26" s="329"/>
      <c r="J26" s="329">
        <v>1413</v>
      </c>
      <c r="K26" s="144">
        <v>0.17845415508966911</v>
      </c>
      <c r="L26" s="147"/>
      <c r="M26" s="329">
        <v>692</v>
      </c>
      <c r="N26" s="329">
        <v>308</v>
      </c>
      <c r="O26" s="329">
        <v>283</v>
      </c>
      <c r="P26" s="329">
        <v>66</v>
      </c>
      <c r="Q26" s="329">
        <v>38</v>
      </c>
      <c r="R26" s="329">
        <v>25</v>
      </c>
      <c r="S26" s="329">
        <v>1</v>
      </c>
      <c r="T26" s="148">
        <v>4.7880524079320113</v>
      </c>
      <c r="U26" s="79"/>
    </row>
    <row r="27" spans="1:24" ht="21" customHeight="1">
      <c r="A27" s="79"/>
      <c r="B27" s="142">
        <v>2011</v>
      </c>
      <c r="C27" s="347">
        <v>1670</v>
      </c>
      <c r="D27" s="329">
        <v>7878</v>
      </c>
      <c r="E27" s="329"/>
      <c r="F27" s="329">
        <v>6398</v>
      </c>
      <c r="G27" s="329"/>
      <c r="H27" s="329">
        <v>6407</v>
      </c>
      <c r="I27" s="329"/>
      <c r="J27" s="329">
        <v>1585</v>
      </c>
      <c r="K27" s="144">
        <v>0.19623622632165408</v>
      </c>
      <c r="L27" s="147"/>
      <c r="M27" s="329">
        <v>778</v>
      </c>
      <c r="N27" s="329">
        <v>291</v>
      </c>
      <c r="O27" s="329">
        <v>334</v>
      </c>
      <c r="P27" s="329">
        <v>80</v>
      </c>
      <c r="Q27" s="329">
        <v>69</v>
      </c>
      <c r="R27" s="329">
        <v>32</v>
      </c>
      <c r="S27" s="329">
        <v>1</v>
      </c>
      <c r="T27" s="148">
        <v>5.0646085858585863</v>
      </c>
      <c r="U27" s="79"/>
      <c r="W27" s="404"/>
      <c r="X27" s="405"/>
    </row>
    <row r="28" spans="1:24" ht="14.25" customHeight="1">
      <c r="A28" s="79"/>
      <c r="B28" s="142">
        <v>2012</v>
      </c>
      <c r="C28" s="347">
        <v>1538</v>
      </c>
      <c r="D28" s="329">
        <v>6692</v>
      </c>
      <c r="E28" s="329"/>
      <c r="F28" s="329">
        <v>5349</v>
      </c>
      <c r="G28" s="329"/>
      <c r="H28" s="329">
        <v>5302</v>
      </c>
      <c r="I28" s="329"/>
      <c r="J28" s="329">
        <v>1327</v>
      </c>
      <c r="K28" s="144">
        <v>0.19400584795321638</v>
      </c>
      <c r="L28" s="147"/>
      <c r="M28" s="329">
        <v>640</v>
      </c>
      <c r="N28" s="329">
        <v>253</v>
      </c>
      <c r="O28" s="329">
        <v>288</v>
      </c>
      <c r="P28" s="329">
        <v>57</v>
      </c>
      <c r="Q28" s="329">
        <v>60</v>
      </c>
      <c r="R28" s="329">
        <v>27</v>
      </c>
      <c r="S28" s="329">
        <v>2</v>
      </c>
      <c r="T28" s="148">
        <v>5.0928129713423829</v>
      </c>
      <c r="U28" s="79"/>
      <c r="W28" s="404"/>
      <c r="X28" s="405"/>
    </row>
    <row r="29" spans="1:24" ht="14.25" customHeight="1">
      <c r="A29" s="79"/>
      <c r="B29" s="142">
        <v>2013</v>
      </c>
      <c r="C29" s="347">
        <v>1230</v>
      </c>
      <c r="D29" s="329">
        <v>6846</v>
      </c>
      <c r="E29" s="329"/>
      <c r="F29" s="329">
        <v>5476</v>
      </c>
      <c r="G29" s="329"/>
      <c r="H29" s="329">
        <v>5439</v>
      </c>
      <c r="I29" s="329"/>
      <c r="J29" s="329">
        <v>1389</v>
      </c>
      <c r="K29" s="144">
        <v>0.20827710301394511</v>
      </c>
      <c r="L29" s="138"/>
      <c r="M29" s="329">
        <v>624</v>
      </c>
      <c r="N29" s="329">
        <v>229</v>
      </c>
      <c r="O29" s="329">
        <v>341</v>
      </c>
      <c r="P29" s="329">
        <v>86</v>
      </c>
      <c r="Q29" s="329">
        <v>74</v>
      </c>
      <c r="R29" s="329">
        <v>34</v>
      </c>
      <c r="S29" s="329">
        <v>1</v>
      </c>
      <c r="T29" s="149">
        <v>5.553570914326853</v>
      </c>
      <c r="U29" s="79"/>
      <c r="W29" s="404"/>
      <c r="X29" s="405"/>
    </row>
    <row r="30" spans="1:24" ht="14.25" customHeight="1">
      <c r="A30" s="79"/>
      <c r="B30" s="142">
        <v>2014</v>
      </c>
      <c r="C30" s="347">
        <v>1151</v>
      </c>
      <c r="D30" s="329">
        <v>7026</v>
      </c>
      <c r="E30" s="329"/>
      <c r="F30" s="329">
        <v>5733</v>
      </c>
      <c r="G30" s="329"/>
      <c r="H30" s="329">
        <v>5703</v>
      </c>
      <c r="I30" s="329"/>
      <c r="J30" s="329">
        <v>1480</v>
      </c>
      <c r="K30" s="144">
        <v>0.21593230230522323</v>
      </c>
      <c r="L30" s="147"/>
      <c r="M30" s="329">
        <v>661</v>
      </c>
      <c r="N30" s="329">
        <v>223</v>
      </c>
      <c r="O30" s="329">
        <v>381</v>
      </c>
      <c r="P30" s="329">
        <v>85</v>
      </c>
      <c r="Q30" s="329">
        <v>79</v>
      </c>
      <c r="R30" s="329">
        <v>51</v>
      </c>
      <c r="S30" s="329">
        <v>0</v>
      </c>
      <c r="T30" s="148">
        <v>5.7916891891891895</v>
      </c>
      <c r="U30" s="79"/>
      <c r="W30" s="404"/>
      <c r="X30" s="405"/>
    </row>
    <row r="31" spans="1:24" ht="14.25" customHeight="1">
      <c r="A31" s="79"/>
      <c r="B31" s="142">
        <v>2015</v>
      </c>
      <c r="C31" s="347">
        <v>1155</v>
      </c>
      <c r="D31" s="329">
        <v>7402</v>
      </c>
      <c r="E31" s="329"/>
      <c r="F31" s="329">
        <v>6278</v>
      </c>
      <c r="G31" s="329"/>
      <c r="H31" s="329">
        <v>6267</v>
      </c>
      <c r="I31" s="329"/>
      <c r="J31" s="329">
        <v>1727</v>
      </c>
      <c r="K31" s="144">
        <v>0.23268660738345459</v>
      </c>
      <c r="L31" s="138"/>
      <c r="M31" s="329">
        <v>622</v>
      </c>
      <c r="N31" s="329">
        <v>315</v>
      </c>
      <c r="O31" s="329">
        <v>522</v>
      </c>
      <c r="P31" s="329">
        <v>128</v>
      </c>
      <c r="Q31" s="329">
        <v>84</v>
      </c>
      <c r="R31" s="329">
        <v>54</v>
      </c>
      <c r="S31" s="329">
        <v>2</v>
      </c>
      <c r="T31" s="149">
        <v>6.0981239143022581</v>
      </c>
      <c r="U31" s="79"/>
      <c r="W31" s="404"/>
      <c r="X31" s="405"/>
    </row>
    <row r="32" spans="1:24" ht="21" customHeight="1">
      <c r="A32" s="79"/>
      <c r="B32" s="142">
        <v>2016</v>
      </c>
      <c r="C32" s="347">
        <v>1268</v>
      </c>
      <c r="D32" s="329">
        <v>7952</v>
      </c>
      <c r="E32" s="329"/>
      <c r="F32" s="329">
        <v>6969</v>
      </c>
      <c r="G32" s="329"/>
      <c r="H32" s="329">
        <v>6994</v>
      </c>
      <c r="I32" s="329"/>
      <c r="J32" s="329">
        <v>2267</v>
      </c>
      <c r="K32" s="330">
        <v>0.27438876785282013</v>
      </c>
      <c r="L32" s="331"/>
      <c r="M32" s="329">
        <v>529</v>
      </c>
      <c r="N32" s="329">
        <v>486</v>
      </c>
      <c r="O32" s="329">
        <v>926</v>
      </c>
      <c r="P32" s="329">
        <v>132</v>
      </c>
      <c r="Q32" s="329">
        <v>122</v>
      </c>
      <c r="R32" s="329">
        <v>72</v>
      </c>
      <c r="S32" s="329">
        <v>0</v>
      </c>
      <c r="T32" s="332">
        <v>6.523043670048521</v>
      </c>
      <c r="U32" s="79"/>
      <c r="W32" s="404"/>
      <c r="X32" s="405"/>
    </row>
    <row r="33" spans="1:24" ht="14.25" customHeight="1">
      <c r="A33" s="79"/>
      <c r="B33" s="142">
        <v>2017</v>
      </c>
      <c r="C33" s="347">
        <v>1286</v>
      </c>
      <c r="D33" s="329">
        <v>8938</v>
      </c>
      <c r="E33" s="329"/>
      <c r="F33" s="329">
        <v>7820</v>
      </c>
      <c r="G33" s="329"/>
      <c r="H33" s="329">
        <v>7876</v>
      </c>
      <c r="I33" s="329"/>
      <c r="J33" s="329">
        <v>2666</v>
      </c>
      <c r="K33" s="330">
        <v>0.2909845012006112</v>
      </c>
      <c r="L33" s="331"/>
      <c r="M33" s="329">
        <v>592</v>
      </c>
      <c r="N33" s="329">
        <v>589</v>
      </c>
      <c r="O33" s="329">
        <v>1131</v>
      </c>
      <c r="P33" s="329">
        <v>154</v>
      </c>
      <c r="Q33" s="329">
        <v>121</v>
      </c>
      <c r="R33" s="329">
        <v>76</v>
      </c>
      <c r="S33" s="329">
        <v>3</v>
      </c>
      <c r="T33" s="332">
        <v>6.5</v>
      </c>
      <c r="U33" s="79"/>
      <c r="W33" s="404"/>
      <c r="X33" s="405"/>
    </row>
    <row r="34" spans="1:24" ht="14.25" customHeight="1">
      <c r="A34" s="79"/>
      <c r="B34" s="142">
        <v>2018</v>
      </c>
      <c r="C34" s="347">
        <v>1304</v>
      </c>
      <c r="D34" s="329">
        <v>9542</v>
      </c>
      <c r="E34" s="329"/>
      <c r="F34" s="329">
        <v>8382</v>
      </c>
      <c r="G34" s="329"/>
      <c r="H34" s="329">
        <v>8423</v>
      </c>
      <c r="I34" s="329"/>
      <c r="J34" s="329">
        <v>3079</v>
      </c>
      <c r="K34" s="330">
        <v>0.3165415852780919</v>
      </c>
      <c r="L34" s="331"/>
      <c r="M34" s="329">
        <v>434</v>
      </c>
      <c r="N34" s="329">
        <v>852</v>
      </c>
      <c r="O34" s="329">
        <v>1298</v>
      </c>
      <c r="P34" s="329">
        <v>178</v>
      </c>
      <c r="Q34" s="329">
        <v>201</v>
      </c>
      <c r="R34" s="329">
        <v>113</v>
      </c>
      <c r="S34" s="329">
        <v>3</v>
      </c>
      <c r="T34" s="332">
        <v>7.1</v>
      </c>
      <c r="U34" s="79"/>
      <c r="W34" s="404"/>
      <c r="X34" s="405"/>
    </row>
    <row r="35" spans="1:24" ht="14.25" customHeight="1">
      <c r="A35" s="79"/>
      <c r="B35" s="142">
        <v>2019</v>
      </c>
      <c r="C35" s="347">
        <v>1497</v>
      </c>
      <c r="D35" s="329">
        <v>9822</v>
      </c>
      <c r="E35" s="329"/>
      <c r="F35" s="329">
        <v>9030</v>
      </c>
      <c r="G35" s="329"/>
      <c r="H35" s="329">
        <v>9339</v>
      </c>
      <c r="I35" s="329"/>
      <c r="J35" s="329">
        <v>3593</v>
      </c>
      <c r="K35" s="330">
        <v>0.33157991878922111</v>
      </c>
      <c r="L35" s="331"/>
      <c r="M35" s="329">
        <v>446</v>
      </c>
      <c r="N35" s="329">
        <v>986</v>
      </c>
      <c r="O35" s="329">
        <v>1571</v>
      </c>
      <c r="P35" s="329">
        <v>201</v>
      </c>
      <c r="Q35" s="329">
        <v>281</v>
      </c>
      <c r="R35" s="329">
        <v>106</v>
      </c>
      <c r="S35" s="329">
        <v>2</v>
      </c>
      <c r="T35" s="332">
        <v>7.0759810743111604</v>
      </c>
      <c r="U35" s="79"/>
      <c r="V35" s="326"/>
      <c r="W35" s="404"/>
      <c r="X35" s="405"/>
    </row>
    <row r="36" spans="1:24" ht="14.25" customHeight="1">
      <c r="A36" s="79"/>
      <c r="B36" s="142">
        <v>2020</v>
      </c>
      <c r="C36" s="347">
        <v>1343</v>
      </c>
      <c r="D36" s="329">
        <v>8133</v>
      </c>
      <c r="E36" s="329"/>
      <c r="F36" s="329">
        <v>7561</v>
      </c>
      <c r="G36" s="329"/>
      <c r="H36" s="329">
        <v>8207</v>
      </c>
      <c r="I36" s="329"/>
      <c r="J36" s="329">
        <v>3097</v>
      </c>
      <c r="K36" s="330">
        <v>0.32429319371727749</v>
      </c>
      <c r="L36" s="331"/>
      <c r="M36" s="329">
        <v>420</v>
      </c>
      <c r="N36" s="329">
        <v>918</v>
      </c>
      <c r="O36" s="329">
        <v>1333</v>
      </c>
      <c r="P36" s="329">
        <v>147</v>
      </c>
      <c r="Q36" s="329">
        <v>208</v>
      </c>
      <c r="R36" s="329">
        <v>67</v>
      </c>
      <c r="S36" s="329">
        <v>1</v>
      </c>
      <c r="T36" s="332">
        <v>6.7</v>
      </c>
      <c r="U36" s="79"/>
      <c r="V36" s="326"/>
      <c r="W36" s="406"/>
    </row>
    <row r="37" spans="1:24" ht="6" customHeight="1">
      <c r="A37" s="79"/>
      <c r="B37" s="352"/>
      <c r="C37" s="353"/>
      <c r="D37" s="354"/>
      <c r="E37" s="354"/>
      <c r="F37" s="355"/>
      <c r="G37" s="354"/>
      <c r="H37" s="356"/>
      <c r="I37" s="352"/>
      <c r="J37" s="355"/>
      <c r="K37" s="357"/>
      <c r="L37" s="353"/>
      <c r="M37" s="353"/>
      <c r="N37" s="353"/>
      <c r="O37" s="353"/>
      <c r="P37" s="353"/>
      <c r="Q37" s="353"/>
      <c r="R37" s="353"/>
      <c r="S37" s="353"/>
      <c r="T37" s="358"/>
      <c r="U37" s="79"/>
    </row>
    <row r="38" spans="1:24" ht="6" customHeight="1">
      <c r="A38" s="79"/>
      <c r="B38" s="81"/>
      <c r="C38" s="131"/>
      <c r="D38" s="82"/>
      <c r="E38" s="82"/>
      <c r="F38" s="133"/>
      <c r="G38" s="82"/>
      <c r="H38" s="131"/>
      <c r="I38" s="81"/>
      <c r="J38" s="133"/>
      <c r="K38" s="132"/>
      <c r="L38" s="79"/>
      <c r="M38" s="79"/>
      <c r="N38" s="79"/>
      <c r="O38" s="79"/>
      <c r="P38" s="79"/>
      <c r="Q38" s="79"/>
      <c r="R38" s="79"/>
      <c r="S38" s="79"/>
      <c r="T38" s="134"/>
      <c r="U38" s="79"/>
    </row>
    <row r="39" spans="1:24" ht="14.25" customHeight="1">
      <c r="A39" s="138"/>
      <c r="B39" s="348" t="s">
        <v>34</v>
      </c>
      <c r="C39" s="142"/>
      <c r="D39" s="143"/>
      <c r="E39" s="143"/>
      <c r="F39" s="143"/>
      <c r="G39" s="143"/>
      <c r="H39" s="142"/>
      <c r="I39" s="142"/>
      <c r="J39" s="138"/>
      <c r="K39" s="138"/>
      <c r="L39" s="138"/>
      <c r="M39" s="138"/>
      <c r="N39" s="138"/>
      <c r="O39" s="138"/>
      <c r="P39" s="138"/>
      <c r="Q39" s="138"/>
      <c r="R39" s="138"/>
      <c r="S39" s="138"/>
      <c r="T39" s="138"/>
      <c r="U39" s="79"/>
    </row>
    <row r="40" spans="1:24" ht="34.25" customHeight="1">
      <c r="A40" s="138"/>
      <c r="B40" s="747" t="s">
        <v>354</v>
      </c>
      <c r="C40" s="747"/>
      <c r="D40" s="747"/>
      <c r="E40" s="747"/>
      <c r="F40" s="747"/>
      <c r="G40" s="747"/>
      <c r="H40" s="747"/>
      <c r="I40" s="747"/>
      <c r="J40" s="747"/>
      <c r="K40" s="747"/>
      <c r="L40" s="747"/>
      <c r="M40" s="747"/>
      <c r="N40" s="747"/>
      <c r="O40" s="747"/>
      <c r="P40" s="747"/>
      <c r="Q40" s="747"/>
      <c r="R40" s="747"/>
      <c r="S40" s="747"/>
      <c r="T40" s="747"/>
      <c r="U40" s="79"/>
    </row>
    <row r="41" spans="1:24" ht="44.5" customHeight="1">
      <c r="A41" s="138"/>
      <c r="B41" s="741" t="s">
        <v>355</v>
      </c>
      <c r="C41" s="741"/>
      <c r="D41" s="741"/>
      <c r="E41" s="741"/>
      <c r="F41" s="741"/>
      <c r="G41" s="741"/>
      <c r="H41" s="741"/>
      <c r="I41" s="741"/>
      <c r="J41" s="741"/>
      <c r="K41" s="741"/>
      <c r="L41" s="741"/>
      <c r="M41" s="741"/>
      <c r="N41" s="741"/>
      <c r="O41" s="741"/>
      <c r="P41" s="741"/>
      <c r="Q41" s="741"/>
      <c r="R41" s="741"/>
      <c r="S41" s="741"/>
      <c r="T41" s="741"/>
      <c r="U41" s="79"/>
    </row>
    <row r="42" spans="1:24" ht="29" customHeight="1">
      <c r="A42" s="138"/>
      <c r="B42" s="741" t="s">
        <v>356</v>
      </c>
      <c r="C42" s="741"/>
      <c r="D42" s="741"/>
      <c r="E42" s="741"/>
      <c r="F42" s="741"/>
      <c r="G42" s="741"/>
      <c r="H42" s="741"/>
      <c r="I42" s="741"/>
      <c r="J42" s="741"/>
      <c r="K42" s="741"/>
      <c r="L42" s="741"/>
      <c r="M42" s="741"/>
      <c r="N42" s="741"/>
      <c r="O42" s="741"/>
      <c r="P42" s="741"/>
      <c r="Q42" s="741"/>
      <c r="R42" s="741"/>
      <c r="S42" s="741"/>
      <c r="T42" s="741"/>
      <c r="U42" s="79"/>
    </row>
    <row r="43" spans="1:24" ht="14.25" customHeight="1">
      <c r="A43" s="138"/>
      <c r="B43" s="349" t="s">
        <v>357</v>
      </c>
      <c r="C43" s="349"/>
      <c r="D43" s="142"/>
      <c r="E43" s="142"/>
      <c r="F43" s="142"/>
      <c r="G43" s="142"/>
      <c r="H43" s="142"/>
      <c r="I43" s="142"/>
      <c r="J43" s="142"/>
      <c r="K43" s="138"/>
      <c r="L43" s="138"/>
      <c r="M43" s="138"/>
      <c r="N43" s="138"/>
      <c r="O43" s="138"/>
      <c r="P43" s="138"/>
      <c r="Q43" s="138"/>
      <c r="R43" s="138"/>
      <c r="S43" s="138"/>
      <c r="T43" s="138"/>
      <c r="U43" s="79"/>
    </row>
    <row r="44" spans="1:24" ht="14.25" customHeight="1">
      <c r="A44" s="138"/>
      <c r="B44" s="741" t="s">
        <v>358</v>
      </c>
      <c r="C44" s="741"/>
      <c r="D44" s="741"/>
      <c r="E44" s="741"/>
      <c r="F44" s="741"/>
      <c r="G44" s="741"/>
      <c r="H44" s="741"/>
      <c r="I44" s="741"/>
      <c r="J44" s="741"/>
      <c r="K44" s="741"/>
      <c r="L44" s="741"/>
      <c r="M44" s="741"/>
      <c r="N44" s="741"/>
      <c r="O44" s="741"/>
      <c r="P44" s="741"/>
      <c r="Q44" s="741"/>
      <c r="R44" s="741"/>
      <c r="S44" s="741"/>
      <c r="T44" s="138"/>
      <c r="U44" s="79"/>
    </row>
    <row r="45" spans="1:24" ht="14.25" customHeight="1">
      <c r="A45" s="138"/>
      <c r="B45" s="741" t="s">
        <v>359</v>
      </c>
      <c r="C45" s="741"/>
      <c r="D45" s="741"/>
      <c r="E45" s="741"/>
      <c r="F45" s="741"/>
      <c r="G45" s="741"/>
      <c r="H45" s="741"/>
      <c r="I45" s="741"/>
      <c r="J45" s="741"/>
      <c r="K45" s="741"/>
      <c r="L45" s="741"/>
      <c r="M45" s="741"/>
      <c r="N45" s="741"/>
      <c r="O45" s="741"/>
      <c r="P45" s="741"/>
      <c r="Q45" s="741"/>
      <c r="R45" s="741"/>
      <c r="S45" s="741"/>
      <c r="T45" s="138"/>
      <c r="U45" s="79"/>
    </row>
    <row r="46" spans="1:24" ht="6" customHeight="1">
      <c r="A46" s="138"/>
      <c r="B46" s="138"/>
      <c r="C46" s="142"/>
      <c r="D46" s="142"/>
      <c r="E46" s="142"/>
      <c r="F46" s="142"/>
      <c r="G46" s="142"/>
      <c r="H46" s="142"/>
      <c r="I46" s="142"/>
      <c r="J46" s="142"/>
      <c r="K46" s="138"/>
      <c r="L46" s="138"/>
      <c r="M46" s="138"/>
      <c r="N46" s="138"/>
      <c r="O46" s="138"/>
      <c r="P46" s="138"/>
      <c r="Q46" s="138"/>
      <c r="R46" s="138"/>
      <c r="S46" s="138"/>
      <c r="T46" s="138"/>
      <c r="U46" s="79"/>
    </row>
    <row r="47" spans="1:24" ht="14.25" customHeight="1">
      <c r="A47" s="138"/>
      <c r="B47" s="138" t="s">
        <v>196</v>
      </c>
      <c r="C47" s="142"/>
      <c r="D47" s="142"/>
      <c r="E47" s="142"/>
      <c r="F47" s="142"/>
      <c r="G47" s="142"/>
      <c r="H47" s="142"/>
      <c r="I47" s="142"/>
      <c r="J47" s="142"/>
      <c r="K47" s="138"/>
      <c r="L47" s="138"/>
      <c r="M47" s="138"/>
      <c r="N47" s="138"/>
      <c r="O47" s="350"/>
      <c r="P47" s="138"/>
      <c r="Q47" s="138"/>
      <c r="R47" s="138"/>
      <c r="S47" s="138"/>
      <c r="T47" s="138"/>
      <c r="U47" s="79"/>
    </row>
    <row r="48" spans="1:24" ht="14.25" customHeight="1">
      <c r="A48" s="138"/>
      <c r="B48" s="407" t="s">
        <v>368</v>
      </c>
      <c r="C48" s="142"/>
      <c r="D48" s="142"/>
      <c r="E48" s="142"/>
      <c r="F48" s="142"/>
      <c r="G48" s="142"/>
      <c r="H48" s="142"/>
      <c r="I48" s="142"/>
      <c r="J48" s="142"/>
      <c r="K48" s="138"/>
      <c r="L48" s="138"/>
      <c r="M48" s="138"/>
      <c r="N48" s="138"/>
      <c r="O48" s="350"/>
      <c r="P48" s="138"/>
      <c r="Q48" s="138"/>
      <c r="R48" s="138"/>
      <c r="S48" s="138"/>
      <c r="T48" s="138"/>
      <c r="U48" s="79"/>
    </row>
    <row r="49" spans="1:21" ht="14.25" customHeight="1">
      <c r="A49" s="138"/>
      <c r="B49" s="407" t="s">
        <v>369</v>
      </c>
      <c r="C49" s="341"/>
      <c r="D49" s="138"/>
      <c r="E49" s="138"/>
      <c r="F49" s="138"/>
      <c r="G49" s="138"/>
      <c r="H49" s="138"/>
      <c r="I49" s="138"/>
      <c r="J49" s="138"/>
      <c r="K49" s="138"/>
      <c r="L49" s="138"/>
      <c r="M49" s="138"/>
      <c r="N49" s="138"/>
      <c r="O49" s="138"/>
      <c r="P49" s="138"/>
      <c r="Q49" s="138"/>
      <c r="R49" s="138"/>
      <c r="S49" s="138"/>
      <c r="T49" s="138"/>
      <c r="U49" s="79"/>
    </row>
    <row r="50" spans="1:21" ht="14.25" customHeight="1">
      <c r="A50" s="79"/>
      <c r="B50" s="80"/>
      <c r="C50" s="351"/>
      <c r="D50" s="80"/>
      <c r="E50" s="80"/>
      <c r="F50" s="80"/>
      <c r="G50" s="80"/>
      <c r="H50" s="80"/>
      <c r="I50" s="80"/>
      <c r="J50" s="80"/>
      <c r="K50" s="79"/>
      <c r="L50" s="79"/>
      <c r="M50" s="79"/>
      <c r="N50" s="79"/>
      <c r="O50" s="79"/>
      <c r="P50" s="79"/>
      <c r="Q50" s="79"/>
      <c r="R50" s="79"/>
      <c r="S50" s="79"/>
      <c r="T50" s="79"/>
      <c r="U50" s="79"/>
    </row>
    <row r="51" spans="1:21" ht="14.25" customHeight="1">
      <c r="B51" s="35"/>
      <c r="C51" s="151"/>
      <c r="D51" s="35"/>
      <c r="E51" s="35"/>
      <c r="F51" s="35"/>
      <c r="G51" s="35"/>
      <c r="H51" s="35"/>
      <c r="I51" s="35"/>
      <c r="J51" s="35"/>
    </row>
  </sheetData>
  <mergeCells count="11">
    <mergeCell ref="B45:S45"/>
    <mergeCell ref="B41:T41"/>
    <mergeCell ref="B42:T42"/>
    <mergeCell ref="J5:K5"/>
    <mergeCell ref="M5:R5"/>
    <mergeCell ref="B44:S44"/>
    <mergeCell ref="B5:B6"/>
    <mergeCell ref="D5:D6"/>
    <mergeCell ref="F5:F6"/>
    <mergeCell ref="H5:H6"/>
    <mergeCell ref="B40:T40"/>
  </mergeCells>
  <hyperlinks>
    <hyperlink ref="B49" r:id="rId1" xr:uid="{FDBCB69A-E7E0-4BC4-B889-ED4C8A727123}"/>
    <hyperlink ref="B48" r:id="rId2" xr:uid="{1AA25F71-DC17-4BEB-BB96-0FF8667B4C92}"/>
  </hyperlinks>
  <pageMargins left="0.75" right="0.75" top="1" bottom="1" header="0.5" footer="0.5"/>
  <pageSetup paperSize="9" orientation="portrait" r:id="rId3"/>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AI46"/>
  <sheetViews>
    <sheetView showGridLines="0" zoomScale="81"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640625" defaultRowHeight="14"/>
  <cols>
    <col min="1" max="1" width="1.5" style="22" customWidth="1"/>
    <col min="2" max="2" width="8.6640625" style="22" customWidth="1"/>
    <col min="3" max="3" width="6.6640625" style="22" customWidth="1"/>
    <col min="4" max="4" width="9.5" style="22" customWidth="1"/>
    <col min="5" max="5" width="7.6640625" style="22" customWidth="1"/>
    <col min="6" max="6" width="1.5" style="22" customWidth="1"/>
    <col min="7" max="7" width="8" style="22" customWidth="1"/>
    <col min="8" max="8" width="8.6640625" style="22" customWidth="1"/>
    <col min="9" max="9" width="9.5" style="22" customWidth="1"/>
    <col min="10" max="10" width="1.6640625" style="22" customWidth="1"/>
    <col min="11" max="13" width="8.6640625" style="22" customWidth="1"/>
    <col min="14" max="14" width="0.1640625" style="22" customWidth="1"/>
    <col min="15" max="15" width="0.33203125" style="22" customWidth="1"/>
    <col min="16" max="16" width="8.6640625" style="22" customWidth="1"/>
    <col min="17" max="17" width="1.5" style="22" customWidth="1"/>
    <col min="18" max="18" width="9.1640625" style="22"/>
    <col min="36" max="16384" width="9.1640625" style="22"/>
  </cols>
  <sheetData>
    <row r="1" spans="1:35" ht="6" customHeight="1">
      <c r="A1" s="152"/>
      <c r="B1" s="152"/>
      <c r="C1" s="152"/>
      <c r="D1" s="152"/>
      <c r="E1" s="152"/>
      <c r="F1" s="152"/>
      <c r="G1" s="152"/>
      <c r="H1" s="152"/>
      <c r="I1" s="152"/>
      <c r="J1" s="152"/>
      <c r="K1" s="152"/>
      <c r="L1" s="152"/>
      <c r="M1" s="152"/>
      <c r="N1" s="152"/>
      <c r="O1" s="152"/>
      <c r="P1" s="152"/>
      <c r="Q1" s="152"/>
    </row>
    <row r="2" spans="1:35" ht="19.5" customHeight="1">
      <c r="A2" s="152"/>
      <c r="B2" s="749" t="s">
        <v>370</v>
      </c>
      <c r="C2" s="749"/>
      <c r="D2" s="749"/>
      <c r="E2" s="749"/>
      <c r="F2" s="749"/>
      <c r="G2" s="749"/>
      <c r="H2" s="749"/>
      <c r="I2" s="749"/>
      <c r="J2" s="749"/>
      <c r="K2" s="749"/>
      <c r="L2" s="749"/>
      <c r="M2" s="749"/>
      <c r="N2" s="749"/>
      <c r="O2" s="749"/>
      <c r="P2" s="749"/>
      <c r="Q2" s="152"/>
    </row>
    <row r="3" spans="1:35" ht="18" customHeight="1">
      <c r="A3" s="152"/>
      <c r="B3" s="153" t="s">
        <v>371</v>
      </c>
      <c r="C3" s="19"/>
      <c r="D3" s="19"/>
      <c r="E3" s="19"/>
      <c r="F3" s="19"/>
      <c r="G3" s="19"/>
      <c r="H3" s="19"/>
      <c r="I3" s="19"/>
      <c r="J3" s="20"/>
      <c r="K3" s="20"/>
      <c r="L3" s="20"/>
      <c r="M3" s="20"/>
      <c r="N3" s="20"/>
      <c r="O3" s="20"/>
      <c r="P3" s="20"/>
      <c r="Q3" s="152"/>
    </row>
    <row r="4" spans="1:35" ht="15.75" customHeight="1">
      <c r="A4" s="154"/>
      <c r="B4" s="162"/>
      <c r="C4" s="750" t="s">
        <v>67</v>
      </c>
      <c r="D4" s="750"/>
      <c r="E4" s="752" t="s">
        <v>372</v>
      </c>
      <c r="F4" s="169"/>
      <c r="G4" s="754" t="s">
        <v>373</v>
      </c>
      <c r="H4" s="754"/>
      <c r="I4" s="754"/>
      <c r="J4" s="163"/>
      <c r="K4" s="754" t="s">
        <v>374</v>
      </c>
      <c r="L4" s="754"/>
      <c r="M4" s="754"/>
      <c r="N4" s="754"/>
      <c r="O4" s="754"/>
      <c r="P4" s="754"/>
      <c r="Q4" s="154"/>
    </row>
    <row r="5" spans="1:35" ht="18.75" customHeight="1">
      <c r="A5" s="154"/>
      <c r="B5" s="164" t="s">
        <v>375</v>
      </c>
      <c r="C5" s="751"/>
      <c r="D5" s="751"/>
      <c r="E5" s="753"/>
      <c r="F5" s="189"/>
      <c r="G5" s="165" t="s">
        <v>376</v>
      </c>
      <c r="H5" s="165" t="s">
        <v>377</v>
      </c>
      <c r="I5" s="165" t="s">
        <v>378</v>
      </c>
      <c r="J5" s="166"/>
      <c r="K5" s="116" t="s">
        <v>379</v>
      </c>
      <c r="L5" s="116" t="s">
        <v>380</v>
      </c>
      <c r="M5" s="167" t="s">
        <v>381</v>
      </c>
      <c r="N5" s="167" t="s">
        <v>382</v>
      </c>
      <c r="O5" s="167" t="s">
        <v>383</v>
      </c>
      <c r="P5" s="167" t="s">
        <v>384</v>
      </c>
      <c r="Q5" s="155"/>
    </row>
    <row r="6" spans="1:35" ht="2.25" customHeight="1">
      <c r="A6" s="154"/>
      <c r="B6" s="123"/>
      <c r="C6" s="168"/>
      <c r="D6" s="168"/>
      <c r="E6" s="169"/>
      <c r="F6" s="169"/>
      <c r="G6" s="170"/>
      <c r="H6" s="170"/>
      <c r="I6" s="170"/>
      <c r="J6" s="171"/>
      <c r="K6" s="172"/>
      <c r="L6" s="172"/>
      <c r="M6" s="173"/>
      <c r="N6" s="173"/>
      <c r="O6" s="173"/>
      <c r="P6" s="173"/>
      <c r="Q6" s="155"/>
    </row>
    <row r="7" spans="1:35">
      <c r="A7" s="154"/>
      <c r="B7" s="174" t="s">
        <v>69</v>
      </c>
      <c r="C7" s="175">
        <v>3667</v>
      </c>
      <c r="D7" s="184">
        <v>3667</v>
      </c>
      <c r="E7" s="190" t="s">
        <v>385</v>
      </c>
      <c r="F7" s="176"/>
      <c r="G7" s="175">
        <v>3279</v>
      </c>
      <c r="H7" s="175">
        <v>387</v>
      </c>
      <c r="I7" s="175">
        <v>1</v>
      </c>
      <c r="J7" s="175"/>
      <c r="K7" s="175">
        <v>88</v>
      </c>
      <c r="L7" s="175">
        <v>355</v>
      </c>
      <c r="M7" s="175">
        <v>3206</v>
      </c>
      <c r="N7" s="175">
        <v>467</v>
      </c>
      <c r="O7" s="175">
        <v>2739</v>
      </c>
      <c r="P7" s="175">
        <v>18</v>
      </c>
      <c r="Q7" s="158"/>
    </row>
    <row r="8" spans="1:35">
      <c r="A8" s="154"/>
      <c r="B8" s="174" t="s">
        <v>70</v>
      </c>
      <c r="C8" s="175">
        <v>4125</v>
      </c>
      <c r="D8" s="184">
        <v>4125</v>
      </c>
      <c r="E8" s="177">
        <v>0.12489773656940284</v>
      </c>
      <c r="F8" s="177"/>
      <c r="G8" s="175">
        <v>3683</v>
      </c>
      <c r="H8" s="175">
        <v>438</v>
      </c>
      <c r="I8" s="175">
        <v>4</v>
      </c>
      <c r="J8" s="175"/>
      <c r="K8" s="175">
        <v>118</v>
      </c>
      <c r="L8" s="175">
        <v>437</v>
      </c>
      <c r="M8" s="175">
        <v>3549</v>
      </c>
      <c r="N8" s="175">
        <v>644</v>
      </c>
      <c r="O8" s="175">
        <v>2905</v>
      </c>
      <c r="P8" s="175">
        <v>21</v>
      </c>
      <c r="Q8" s="158"/>
    </row>
    <row r="9" spans="1:35" s="21" customFormat="1">
      <c r="A9" s="156"/>
      <c r="B9" s="174" t="s">
        <v>71</v>
      </c>
      <c r="C9" s="175">
        <v>4249</v>
      </c>
      <c r="D9" s="184">
        <v>4249</v>
      </c>
      <c r="E9" s="177">
        <v>3.0060606060606121E-2</v>
      </c>
      <c r="F9" s="177"/>
      <c r="G9" s="175">
        <v>3831</v>
      </c>
      <c r="H9" s="175">
        <v>417</v>
      </c>
      <c r="I9" s="175">
        <v>1</v>
      </c>
      <c r="J9" s="175"/>
      <c r="K9" s="175">
        <v>130</v>
      </c>
      <c r="L9" s="175">
        <v>444</v>
      </c>
      <c r="M9" s="175">
        <v>3662</v>
      </c>
      <c r="N9" s="175">
        <v>643</v>
      </c>
      <c r="O9" s="175">
        <v>3019</v>
      </c>
      <c r="P9" s="175">
        <v>13</v>
      </c>
      <c r="Q9" s="158"/>
      <c r="S9"/>
      <c r="T9"/>
      <c r="U9"/>
      <c r="V9"/>
      <c r="W9"/>
      <c r="X9"/>
      <c r="Y9"/>
      <c r="Z9"/>
      <c r="AA9"/>
      <c r="AB9"/>
      <c r="AC9"/>
      <c r="AD9"/>
      <c r="AE9"/>
      <c r="AF9"/>
      <c r="AG9"/>
      <c r="AH9"/>
      <c r="AI9"/>
    </row>
    <row r="10" spans="1:35" s="36" customFormat="1">
      <c r="A10" s="159"/>
      <c r="B10" s="174" t="s">
        <v>72</v>
      </c>
      <c r="C10" s="175">
        <v>4642</v>
      </c>
      <c r="D10" s="184">
        <v>4642</v>
      </c>
      <c r="E10" s="177">
        <v>9.2492351141445051E-2</v>
      </c>
      <c r="F10" s="177"/>
      <c r="G10" s="175">
        <v>4176</v>
      </c>
      <c r="H10" s="175">
        <v>448</v>
      </c>
      <c r="I10" s="175">
        <v>18</v>
      </c>
      <c r="J10" s="175"/>
      <c r="K10" s="175">
        <v>132</v>
      </c>
      <c r="L10" s="175">
        <v>508</v>
      </c>
      <c r="M10" s="175">
        <v>3973</v>
      </c>
      <c r="N10" s="175">
        <v>692</v>
      </c>
      <c r="O10" s="175">
        <v>3281</v>
      </c>
      <c r="P10" s="175">
        <v>29</v>
      </c>
      <c r="Q10" s="158"/>
      <c r="S10"/>
      <c r="T10"/>
      <c r="U10"/>
      <c r="V10"/>
      <c r="W10"/>
      <c r="X10"/>
      <c r="Y10"/>
      <c r="Z10"/>
      <c r="AA10"/>
      <c r="AB10"/>
      <c r="AC10"/>
      <c r="AD10"/>
      <c r="AE10"/>
      <c r="AF10"/>
      <c r="AG10"/>
      <c r="AH10"/>
      <c r="AI10"/>
    </row>
    <row r="11" spans="1:35">
      <c r="A11" s="154"/>
      <c r="B11" s="174" t="s">
        <v>73</v>
      </c>
      <c r="C11" s="175">
        <v>4275</v>
      </c>
      <c r="D11" s="184">
        <v>4275</v>
      </c>
      <c r="E11" s="177">
        <v>-7.9060749676863384E-2</v>
      </c>
      <c r="F11" s="177"/>
      <c r="G11" s="175">
        <v>3847</v>
      </c>
      <c r="H11" s="175">
        <v>426</v>
      </c>
      <c r="I11" s="175">
        <v>2</v>
      </c>
      <c r="J11" s="175"/>
      <c r="K11" s="175">
        <v>95</v>
      </c>
      <c r="L11" s="175">
        <v>429</v>
      </c>
      <c r="M11" s="175">
        <v>3745</v>
      </c>
      <c r="N11" s="175">
        <v>644</v>
      </c>
      <c r="O11" s="175">
        <v>3101</v>
      </c>
      <c r="P11" s="175">
        <v>6</v>
      </c>
      <c r="Q11" s="160"/>
      <c r="R11" s="37"/>
    </row>
    <row r="12" spans="1:35">
      <c r="A12" s="154"/>
      <c r="B12" s="178" t="s">
        <v>74</v>
      </c>
      <c r="C12" s="175">
        <v>4774</v>
      </c>
      <c r="D12" s="184">
        <v>4774</v>
      </c>
      <c r="E12" s="177">
        <v>0.11672514619883034</v>
      </c>
      <c r="F12" s="177"/>
      <c r="G12" s="175">
        <v>4313</v>
      </c>
      <c r="H12" s="175">
        <v>461</v>
      </c>
      <c r="I12" s="175">
        <v>0</v>
      </c>
      <c r="J12" s="175"/>
      <c r="K12" s="175">
        <v>110</v>
      </c>
      <c r="L12" s="175">
        <v>529</v>
      </c>
      <c r="M12" s="175">
        <v>4125</v>
      </c>
      <c r="N12" s="175">
        <v>734</v>
      </c>
      <c r="O12" s="175">
        <v>3391</v>
      </c>
      <c r="P12" s="175">
        <v>10</v>
      </c>
      <c r="Q12" s="160"/>
    </row>
    <row r="13" spans="1:35">
      <c r="A13" s="154"/>
      <c r="B13" s="178" t="s">
        <v>75</v>
      </c>
      <c r="C13" s="175">
        <v>5072</v>
      </c>
      <c r="D13" s="184">
        <v>5072</v>
      </c>
      <c r="E13" s="177">
        <v>6.2421449518223815E-2</v>
      </c>
      <c r="F13" s="177"/>
      <c r="G13" s="175">
        <v>4590</v>
      </c>
      <c r="H13" s="175">
        <v>479</v>
      </c>
      <c r="I13" s="175">
        <v>3</v>
      </c>
      <c r="J13" s="175"/>
      <c r="K13" s="175">
        <v>143</v>
      </c>
      <c r="L13" s="175">
        <v>553</v>
      </c>
      <c r="M13" s="175">
        <v>4374</v>
      </c>
      <c r="N13" s="175">
        <v>737</v>
      </c>
      <c r="O13" s="175">
        <v>3637</v>
      </c>
      <c r="P13" s="175">
        <v>2</v>
      </c>
      <c r="Q13" s="160"/>
    </row>
    <row r="14" spans="1:35">
      <c r="A14" s="154"/>
      <c r="B14" s="174" t="s">
        <v>76</v>
      </c>
      <c r="C14" s="175">
        <v>5496</v>
      </c>
      <c r="D14" s="184">
        <v>5496</v>
      </c>
      <c r="E14" s="177">
        <v>8.3596214511040934E-2</v>
      </c>
      <c r="F14" s="177"/>
      <c r="G14" s="175">
        <v>4943</v>
      </c>
      <c r="H14" s="175">
        <v>550</v>
      </c>
      <c r="I14" s="175">
        <v>3</v>
      </c>
      <c r="J14" s="175"/>
      <c r="K14" s="175">
        <v>169</v>
      </c>
      <c r="L14" s="175">
        <v>668</v>
      </c>
      <c r="M14" s="175">
        <v>4655</v>
      </c>
      <c r="N14" s="175">
        <v>850</v>
      </c>
      <c r="O14" s="175">
        <v>3805</v>
      </c>
      <c r="P14" s="175">
        <v>4</v>
      </c>
      <c r="Q14" s="160"/>
    </row>
    <row r="15" spans="1:35">
      <c r="A15" s="154"/>
      <c r="B15" s="174" t="s">
        <v>77</v>
      </c>
      <c r="C15" s="175">
        <v>5720</v>
      </c>
      <c r="D15" s="184">
        <v>5720</v>
      </c>
      <c r="E15" s="177">
        <v>4.0756914119359555E-2</v>
      </c>
      <c r="F15" s="177"/>
      <c r="G15" s="175">
        <v>5176</v>
      </c>
      <c r="H15" s="175">
        <v>542</v>
      </c>
      <c r="I15" s="175">
        <v>2</v>
      </c>
      <c r="J15" s="175"/>
      <c r="K15" s="175">
        <v>179</v>
      </c>
      <c r="L15" s="175">
        <v>752</v>
      </c>
      <c r="M15" s="175">
        <v>4786</v>
      </c>
      <c r="N15" s="175">
        <v>866</v>
      </c>
      <c r="O15" s="175">
        <v>3920</v>
      </c>
      <c r="P15" s="175">
        <v>3</v>
      </c>
      <c r="Q15" s="157"/>
    </row>
    <row r="16" spans="1:35">
      <c r="A16" s="154"/>
      <c r="B16" s="179" t="s">
        <v>78</v>
      </c>
      <c r="C16" s="175">
        <v>5239</v>
      </c>
      <c r="D16" s="184">
        <v>5239</v>
      </c>
      <c r="E16" s="177">
        <v>-8.4090909090909105E-2</v>
      </c>
      <c r="F16" s="177"/>
      <c r="G16" s="175">
        <v>4755</v>
      </c>
      <c r="H16" s="175">
        <v>480</v>
      </c>
      <c r="I16" s="175">
        <v>4</v>
      </c>
      <c r="J16" s="175"/>
      <c r="K16" s="175">
        <v>184</v>
      </c>
      <c r="L16" s="175">
        <v>736</v>
      </c>
      <c r="M16" s="175">
        <v>4311</v>
      </c>
      <c r="N16" s="175">
        <v>758</v>
      </c>
      <c r="O16" s="175">
        <v>3553</v>
      </c>
      <c r="P16" s="175">
        <v>8</v>
      </c>
      <c r="Q16" s="157"/>
    </row>
    <row r="17" spans="1:17">
      <c r="A17" s="154"/>
      <c r="B17" s="179" t="s">
        <v>49</v>
      </c>
      <c r="C17" s="175">
        <v>4914</v>
      </c>
      <c r="D17" s="184">
        <v>4914</v>
      </c>
      <c r="E17" s="177">
        <v>-6.2034739454094323E-2</v>
      </c>
      <c r="F17" s="177"/>
      <c r="G17" s="175">
        <v>4360</v>
      </c>
      <c r="H17" s="175">
        <v>554</v>
      </c>
      <c r="I17" s="175">
        <v>0</v>
      </c>
      <c r="J17" s="175"/>
      <c r="K17" s="175">
        <v>155</v>
      </c>
      <c r="L17" s="175">
        <v>569</v>
      </c>
      <c r="M17" s="175">
        <v>4183</v>
      </c>
      <c r="N17" s="175">
        <v>741</v>
      </c>
      <c r="O17" s="175">
        <v>3442</v>
      </c>
      <c r="P17" s="175">
        <v>7</v>
      </c>
      <c r="Q17" s="157"/>
    </row>
    <row r="18" spans="1:17">
      <c r="A18" s="154"/>
      <c r="B18" s="179" t="s">
        <v>50</v>
      </c>
      <c r="C18" s="175">
        <v>4689</v>
      </c>
      <c r="D18" s="184">
        <v>4689</v>
      </c>
      <c r="E18" s="177">
        <v>-4.5787545787545736E-2</v>
      </c>
      <c r="F18" s="177"/>
      <c r="G18" s="175">
        <v>4202</v>
      </c>
      <c r="H18" s="175">
        <v>486</v>
      </c>
      <c r="I18" s="175">
        <v>1</v>
      </c>
      <c r="J18" s="175"/>
      <c r="K18" s="175">
        <v>164</v>
      </c>
      <c r="L18" s="175">
        <v>554</v>
      </c>
      <c r="M18" s="175">
        <v>3955</v>
      </c>
      <c r="N18" s="175">
        <v>712</v>
      </c>
      <c r="O18" s="175">
        <v>3243</v>
      </c>
      <c r="P18" s="175">
        <v>16</v>
      </c>
      <c r="Q18" s="157"/>
    </row>
    <row r="19" spans="1:17">
      <c r="A19" s="154"/>
      <c r="B19" s="179" t="s">
        <v>15</v>
      </c>
      <c r="C19" s="180">
        <v>4647</v>
      </c>
      <c r="D19" s="185">
        <v>4647</v>
      </c>
      <c r="E19" s="177">
        <v>-8.9571337172105192E-3</v>
      </c>
      <c r="F19" s="177"/>
      <c r="G19" s="180">
        <v>4164</v>
      </c>
      <c r="H19" s="180">
        <v>482</v>
      </c>
      <c r="I19" s="180">
        <v>1</v>
      </c>
      <c r="J19" s="180"/>
      <c r="K19" s="180">
        <v>159</v>
      </c>
      <c r="L19" s="180">
        <v>568</v>
      </c>
      <c r="M19" s="175">
        <v>3903</v>
      </c>
      <c r="N19" s="180">
        <v>718</v>
      </c>
      <c r="O19" s="180">
        <v>3185</v>
      </c>
      <c r="P19" s="180">
        <v>17</v>
      </c>
      <c r="Q19" s="154"/>
    </row>
    <row r="20" spans="1:17">
      <c r="A20" s="154"/>
      <c r="B20" s="179" t="s">
        <v>16</v>
      </c>
      <c r="C20" s="180">
        <v>4490</v>
      </c>
      <c r="D20" s="185">
        <v>4490</v>
      </c>
      <c r="E20" s="177">
        <v>-3.3785237787820055E-2</v>
      </c>
      <c r="F20" s="177"/>
      <c r="G20" s="180">
        <v>4060</v>
      </c>
      <c r="H20" s="180">
        <v>430</v>
      </c>
      <c r="I20" s="180">
        <v>0</v>
      </c>
      <c r="J20" s="180"/>
      <c r="K20" s="180">
        <v>158</v>
      </c>
      <c r="L20" s="180">
        <v>484</v>
      </c>
      <c r="M20" s="175">
        <v>3832</v>
      </c>
      <c r="N20" s="180">
        <v>628</v>
      </c>
      <c r="O20" s="180">
        <v>3204</v>
      </c>
      <c r="P20" s="180">
        <v>16</v>
      </c>
      <c r="Q20" s="154"/>
    </row>
    <row r="21" spans="1:17">
      <c r="A21" s="154"/>
      <c r="B21" s="179" t="s">
        <v>17</v>
      </c>
      <c r="C21" s="180">
        <v>3888</v>
      </c>
      <c r="D21" s="185">
        <v>3888</v>
      </c>
      <c r="E21" s="177">
        <v>-0.13407572383073496</v>
      </c>
      <c r="F21" s="177"/>
      <c r="G21" s="180">
        <v>3481</v>
      </c>
      <c r="H21" s="180">
        <v>406</v>
      </c>
      <c r="I21" s="180">
        <v>1</v>
      </c>
      <c r="J21" s="180"/>
      <c r="K21" s="180">
        <v>95</v>
      </c>
      <c r="L21" s="180">
        <v>394</v>
      </c>
      <c r="M21" s="180">
        <v>3389</v>
      </c>
      <c r="N21" s="180"/>
      <c r="O21" s="180"/>
      <c r="P21" s="180">
        <v>10</v>
      </c>
      <c r="Q21" s="154"/>
    </row>
    <row r="22" spans="1:17">
      <c r="A22" s="154"/>
      <c r="B22" s="179" t="s">
        <v>18</v>
      </c>
      <c r="C22" s="181">
        <v>3730</v>
      </c>
      <c r="D22" s="186">
        <v>3730</v>
      </c>
      <c r="E22" s="177">
        <v>-4.0637860082304522E-2</v>
      </c>
      <c r="F22" s="177"/>
      <c r="G22" s="181">
        <v>3317</v>
      </c>
      <c r="H22" s="181">
        <v>412</v>
      </c>
      <c r="I22" s="182">
        <v>1</v>
      </c>
      <c r="J22" s="182"/>
      <c r="K22" s="180">
        <v>104</v>
      </c>
      <c r="L22" s="180">
        <v>370</v>
      </c>
      <c r="M22" s="180">
        <v>3246</v>
      </c>
      <c r="N22" s="180"/>
      <c r="O22" s="180"/>
      <c r="P22" s="180">
        <v>10</v>
      </c>
      <c r="Q22" s="154"/>
    </row>
    <row r="23" spans="1:17">
      <c r="A23" s="154"/>
      <c r="B23" s="179" t="s">
        <v>19</v>
      </c>
      <c r="C23" s="183">
        <v>3643</v>
      </c>
      <c r="D23" s="187">
        <v>3643</v>
      </c>
      <c r="E23" s="177">
        <v>-2.3324396782841816E-2</v>
      </c>
      <c r="F23" s="177"/>
      <c r="G23" s="183">
        <v>3303</v>
      </c>
      <c r="H23" s="183">
        <v>340</v>
      </c>
      <c r="I23" s="182">
        <v>0</v>
      </c>
      <c r="J23" s="182"/>
      <c r="K23" s="180">
        <v>111</v>
      </c>
      <c r="L23" s="180">
        <v>340</v>
      </c>
      <c r="M23" s="180">
        <v>3178</v>
      </c>
      <c r="N23" s="180"/>
      <c r="O23" s="180"/>
      <c r="P23" s="180">
        <v>14</v>
      </c>
      <c r="Q23" s="154"/>
    </row>
    <row r="24" spans="1:17">
      <c r="A24" s="132"/>
      <c r="B24" s="179" t="s">
        <v>20</v>
      </c>
      <c r="C24" s="183">
        <v>4119</v>
      </c>
      <c r="D24" s="188">
        <v>4119</v>
      </c>
      <c r="E24" s="177">
        <v>0.13066154268460051</v>
      </c>
      <c r="F24" s="177"/>
      <c r="G24" s="183">
        <v>3767</v>
      </c>
      <c r="H24" s="183">
        <v>351</v>
      </c>
      <c r="I24" s="182">
        <v>1</v>
      </c>
      <c r="J24" s="182"/>
      <c r="K24" s="180">
        <v>149</v>
      </c>
      <c r="L24" s="180">
        <v>432</v>
      </c>
      <c r="M24" s="180">
        <v>3521</v>
      </c>
      <c r="N24" s="180"/>
      <c r="O24" s="180"/>
      <c r="P24" s="180">
        <v>17</v>
      </c>
      <c r="Q24" s="154"/>
    </row>
    <row r="25" spans="1:17">
      <c r="A25" s="154"/>
      <c r="B25" s="179" t="s">
        <v>21</v>
      </c>
      <c r="C25" s="183">
        <v>4434</v>
      </c>
      <c r="D25" s="188">
        <v>4434</v>
      </c>
      <c r="E25" s="177">
        <v>7.6474872541879124E-2</v>
      </c>
      <c r="F25" s="177"/>
      <c r="G25" s="183">
        <v>4054</v>
      </c>
      <c r="H25" s="183">
        <v>379</v>
      </c>
      <c r="I25" s="182">
        <v>1</v>
      </c>
      <c r="J25" s="182"/>
      <c r="K25" s="180">
        <v>162</v>
      </c>
      <c r="L25" s="180">
        <v>524</v>
      </c>
      <c r="M25" s="180">
        <v>3720</v>
      </c>
      <c r="N25" s="180"/>
      <c r="O25" s="180"/>
      <c r="P25" s="180">
        <v>28</v>
      </c>
      <c r="Q25" s="154"/>
    </row>
    <row r="26" spans="1:17">
      <c r="A26" s="154"/>
      <c r="B26" s="179" t="s">
        <v>22</v>
      </c>
      <c r="C26" s="183">
        <v>5053</v>
      </c>
      <c r="D26" s="188">
        <v>5053</v>
      </c>
      <c r="E26" s="177">
        <v>0.13960306720793869</v>
      </c>
      <c r="F26" s="177"/>
      <c r="G26" s="183">
        <v>4665</v>
      </c>
      <c r="H26" s="183">
        <v>385</v>
      </c>
      <c r="I26" s="182">
        <v>3</v>
      </c>
      <c r="J26" s="182"/>
      <c r="K26" s="180">
        <v>163</v>
      </c>
      <c r="L26" s="180">
        <v>650</v>
      </c>
      <c r="M26" s="180">
        <v>4173</v>
      </c>
      <c r="N26" s="180"/>
      <c r="O26" s="180"/>
      <c r="P26" s="180">
        <v>67</v>
      </c>
      <c r="Q26" s="154"/>
    </row>
    <row r="27" spans="1:17">
      <c r="A27" s="342"/>
      <c r="B27" s="342" t="s">
        <v>23</v>
      </c>
      <c r="C27" s="388">
        <v>5149</v>
      </c>
      <c r="D27" s="387">
        <v>5149</v>
      </c>
      <c r="E27" s="389">
        <v>1.8998614684345938E-2</v>
      </c>
      <c r="F27" s="389"/>
      <c r="G27" s="388">
        <v>4747</v>
      </c>
      <c r="H27" s="388">
        <v>399</v>
      </c>
      <c r="I27" s="390">
        <v>3</v>
      </c>
      <c r="J27" s="390"/>
      <c r="K27" s="391">
        <v>222</v>
      </c>
      <c r="L27" s="391">
        <v>627</v>
      </c>
      <c r="M27" s="391">
        <v>4268</v>
      </c>
      <c r="N27" s="180"/>
      <c r="O27" s="180"/>
      <c r="P27" s="180">
        <v>32</v>
      </c>
      <c r="Q27" s="154"/>
    </row>
    <row r="28" spans="1:17">
      <c r="A28" s="342"/>
      <c r="B28" s="392" t="s">
        <v>24</v>
      </c>
      <c r="C28" s="393">
        <v>4757</v>
      </c>
      <c r="D28" s="387">
        <v>4757</v>
      </c>
      <c r="E28" s="177">
        <v>-7.6131287628665723E-2</v>
      </c>
      <c r="F28" s="389"/>
      <c r="G28" s="393">
        <v>4364</v>
      </c>
      <c r="H28" s="393">
        <v>391</v>
      </c>
      <c r="I28" s="393">
        <v>2</v>
      </c>
      <c r="J28" s="393"/>
      <c r="K28" s="393">
        <v>184</v>
      </c>
      <c r="L28" s="393">
        <v>585</v>
      </c>
      <c r="M28" s="393">
        <v>3965</v>
      </c>
      <c r="N28" s="191"/>
      <c r="O28" s="191"/>
      <c r="P28" s="393">
        <v>23</v>
      </c>
      <c r="Q28" s="154"/>
    </row>
    <row r="29" spans="1:17" ht="15.5" customHeight="1">
      <c r="A29" s="342"/>
      <c r="B29" s="342" t="s">
        <v>25</v>
      </c>
      <c r="C29" s="388">
        <v>4091</v>
      </c>
      <c r="D29" s="387">
        <v>4091</v>
      </c>
      <c r="E29" s="389">
        <v>-0.14000420433046035</v>
      </c>
      <c r="F29" s="389"/>
      <c r="G29" s="388">
        <v>3708</v>
      </c>
      <c r="H29" s="388">
        <v>383</v>
      </c>
      <c r="I29" s="390">
        <v>0</v>
      </c>
      <c r="J29" s="390"/>
      <c r="K29" s="391">
        <v>180</v>
      </c>
      <c r="L29" s="391">
        <v>514</v>
      </c>
      <c r="M29" s="391">
        <v>3378</v>
      </c>
      <c r="N29" s="161"/>
      <c r="O29" s="161"/>
      <c r="P29" s="391">
        <v>19</v>
      </c>
      <c r="Q29" s="154"/>
    </row>
    <row r="30" spans="1:17" ht="15.5" customHeight="1">
      <c r="A30" s="342"/>
      <c r="B30" s="342" t="s">
        <v>26</v>
      </c>
      <c r="C30" s="388">
        <v>4171</v>
      </c>
      <c r="D30" s="387">
        <v>4171</v>
      </c>
      <c r="E30" s="389">
        <v>1.955512099731117E-2</v>
      </c>
      <c r="F30" s="389"/>
      <c r="G30" s="388">
        <v>3836</v>
      </c>
      <c r="H30" s="388">
        <v>334</v>
      </c>
      <c r="I30" s="390">
        <v>1</v>
      </c>
      <c r="J30" s="390"/>
      <c r="K30" s="391">
        <v>175</v>
      </c>
      <c r="L30" s="391">
        <v>480</v>
      </c>
      <c r="M30" s="391">
        <v>3485</v>
      </c>
      <c r="N30" s="161"/>
      <c r="O30" s="161"/>
      <c r="P30" s="391">
        <v>31</v>
      </c>
      <c r="Q30" s="154"/>
    </row>
    <row r="31" spans="1:17" ht="15.5" customHeight="1">
      <c r="A31" s="342"/>
      <c r="B31" s="418" t="s">
        <v>27</v>
      </c>
      <c r="C31" s="419">
        <v>3775</v>
      </c>
      <c r="D31" s="387">
        <v>3775</v>
      </c>
      <c r="E31" s="416">
        <v>-9.5000000000000001E-2</v>
      </c>
      <c r="F31" s="389"/>
      <c r="G31" s="388">
        <v>3430</v>
      </c>
      <c r="H31" s="388">
        <v>341</v>
      </c>
      <c r="I31" s="390">
        <v>4</v>
      </c>
      <c r="J31" s="390"/>
      <c r="K31" s="391">
        <v>175</v>
      </c>
      <c r="L31" s="391">
        <v>471</v>
      </c>
      <c r="M31" s="391">
        <v>3102</v>
      </c>
      <c r="N31" s="161"/>
      <c r="O31" s="161"/>
      <c r="P31" s="417">
        <v>27</v>
      </c>
      <c r="Q31" s="154"/>
    </row>
    <row r="32" spans="1:17" ht="15.5" customHeight="1">
      <c r="A32" s="342"/>
      <c r="B32" s="418" t="s">
        <v>30</v>
      </c>
      <c r="C32" s="419">
        <v>3900</v>
      </c>
      <c r="D32" s="387">
        <v>3900</v>
      </c>
      <c r="E32" s="416">
        <v>3.3000000000000002E-2</v>
      </c>
      <c r="F32" s="389"/>
      <c r="G32" s="388">
        <v>3543</v>
      </c>
      <c r="H32" s="388">
        <v>336</v>
      </c>
      <c r="I32" s="390">
        <v>21</v>
      </c>
      <c r="J32" s="390"/>
      <c r="K32" s="391">
        <v>192</v>
      </c>
      <c r="L32" s="391">
        <v>463</v>
      </c>
      <c r="M32" s="391">
        <v>3205</v>
      </c>
      <c r="N32" s="161"/>
      <c r="O32" s="161"/>
      <c r="P32" s="417">
        <v>40</v>
      </c>
      <c r="Q32" s="154"/>
    </row>
    <row r="33" spans="1:18" ht="15.5" customHeight="1">
      <c r="A33" s="342"/>
      <c r="B33" s="418" t="s">
        <v>395</v>
      </c>
      <c r="C33" s="419">
        <v>3494</v>
      </c>
      <c r="D33" s="387">
        <v>3494</v>
      </c>
      <c r="E33" s="416">
        <v>-0.10410256410256413</v>
      </c>
      <c r="F33" s="389"/>
      <c r="G33" s="388">
        <v>3132</v>
      </c>
      <c r="H33" s="388">
        <v>340</v>
      </c>
      <c r="I33" s="390">
        <v>22</v>
      </c>
      <c r="J33" s="390"/>
      <c r="K33" s="391">
        <v>149</v>
      </c>
      <c r="L33" s="391">
        <v>411</v>
      </c>
      <c r="M33" s="391">
        <v>2885</v>
      </c>
      <c r="N33" s="161"/>
      <c r="O33" s="161"/>
      <c r="P33" s="448" t="s">
        <v>94</v>
      </c>
      <c r="Q33" s="154"/>
    </row>
    <row r="34" spans="1:18" ht="6" customHeight="1">
      <c r="A34" s="342"/>
      <c r="B34" s="395"/>
      <c r="C34" s="396"/>
      <c r="D34" s="397"/>
      <c r="E34" s="398"/>
      <c r="F34" s="398"/>
      <c r="G34" s="396"/>
      <c r="H34" s="396"/>
      <c r="I34" s="399"/>
      <c r="J34" s="399"/>
      <c r="K34" s="400"/>
      <c r="L34" s="400"/>
      <c r="M34" s="400"/>
      <c r="N34" s="334"/>
      <c r="O34" s="334"/>
      <c r="P34" s="334"/>
      <c r="Q34" s="154"/>
    </row>
    <row r="35" spans="1:18" ht="6" customHeight="1">
      <c r="A35" s="342"/>
      <c r="B35" s="342"/>
      <c r="C35" s="388"/>
      <c r="D35" s="394"/>
      <c r="E35" s="389"/>
      <c r="F35" s="389"/>
      <c r="G35" s="388"/>
      <c r="H35" s="388"/>
      <c r="I35" s="390"/>
      <c r="J35" s="390"/>
      <c r="K35" s="391"/>
      <c r="L35" s="391"/>
      <c r="M35" s="391"/>
      <c r="N35" s="180"/>
      <c r="O35" s="180"/>
      <c r="P35" s="180"/>
      <c r="Q35" s="154"/>
    </row>
    <row r="36" spans="1:18" ht="13.5" customHeight="1">
      <c r="A36" s="342"/>
      <c r="B36" s="342" t="s">
        <v>34</v>
      </c>
      <c r="C36" s="388"/>
      <c r="D36" s="394"/>
      <c r="E36" s="389"/>
      <c r="F36" s="389"/>
      <c r="G36" s="388"/>
      <c r="H36" s="388"/>
      <c r="I36" s="390"/>
      <c r="J36" s="390"/>
      <c r="K36" s="391"/>
      <c r="L36" s="391"/>
      <c r="M36" s="391"/>
      <c r="N36" s="180"/>
      <c r="O36" s="180"/>
      <c r="P36" s="180"/>
      <c r="Q36" s="154"/>
    </row>
    <row r="37" spans="1:18" ht="56.25" customHeight="1">
      <c r="A37" s="154"/>
      <c r="B37" s="748" t="s">
        <v>386</v>
      </c>
      <c r="C37" s="748"/>
      <c r="D37" s="748"/>
      <c r="E37" s="748"/>
      <c r="F37" s="748"/>
      <c r="G37" s="748"/>
      <c r="H37" s="748"/>
      <c r="I37" s="748"/>
      <c r="J37" s="748"/>
      <c r="K37" s="748"/>
      <c r="L37" s="748"/>
      <c r="M37" s="748"/>
      <c r="N37" s="748"/>
      <c r="O37" s="748"/>
      <c r="P37" s="748"/>
      <c r="Q37" s="160"/>
    </row>
    <row r="38" spans="1:18" ht="13.5" customHeight="1">
      <c r="A38" s="154"/>
      <c r="B38" s="291" t="s">
        <v>387</v>
      </c>
      <c r="C38" s="342"/>
      <c r="D38" s="342"/>
      <c r="E38" s="342"/>
      <c r="F38" s="342"/>
      <c r="G38" s="343"/>
      <c r="H38" s="343"/>
      <c r="I38" s="342"/>
      <c r="J38" s="342"/>
      <c r="K38" s="343"/>
      <c r="L38" s="292"/>
      <c r="M38" s="335"/>
      <c r="N38" s="335"/>
      <c r="O38" s="335"/>
      <c r="P38" s="336"/>
      <c r="Q38" s="160"/>
    </row>
    <row r="39" spans="1:18">
      <c r="A39" s="154"/>
      <c r="B39" s="344" t="s">
        <v>388</v>
      </c>
      <c r="C39" s="342"/>
      <c r="D39" s="342"/>
      <c r="E39" s="342"/>
      <c r="F39" s="342"/>
      <c r="G39" s="343"/>
      <c r="H39" s="343"/>
      <c r="I39" s="342"/>
      <c r="J39" s="342"/>
      <c r="K39" s="343"/>
      <c r="L39" s="292"/>
      <c r="M39" s="335"/>
      <c r="N39" s="335"/>
      <c r="O39" s="335"/>
      <c r="P39" s="336"/>
      <c r="Q39" s="160"/>
    </row>
    <row r="40" spans="1:18" ht="6" customHeight="1">
      <c r="A40" s="154"/>
      <c r="B40" s="344"/>
      <c r="C40" s="342"/>
      <c r="D40" s="342"/>
      <c r="E40" s="342"/>
      <c r="F40" s="342"/>
      <c r="G40" s="343"/>
      <c r="H40" s="343"/>
      <c r="I40" s="342"/>
      <c r="J40" s="342"/>
      <c r="K40" s="343"/>
      <c r="L40" s="292"/>
      <c r="M40" s="335"/>
      <c r="N40" s="335"/>
      <c r="O40" s="335"/>
      <c r="P40" s="336"/>
      <c r="Q40" s="160"/>
    </row>
    <row r="41" spans="1:18" ht="13.5" customHeight="1">
      <c r="A41" s="154"/>
      <c r="B41" s="291" t="s">
        <v>196</v>
      </c>
      <c r="C41" s="337"/>
      <c r="D41" s="337"/>
      <c r="E41" s="337"/>
      <c r="F41" s="337"/>
      <c r="G41" s="338"/>
      <c r="H41" s="338"/>
      <c r="I41" s="337"/>
      <c r="J41" s="337"/>
      <c r="K41" s="338"/>
      <c r="L41" s="339"/>
      <c r="M41" s="316"/>
      <c r="N41" s="316"/>
      <c r="O41" s="316"/>
      <c r="P41" s="340"/>
      <c r="Q41" s="339"/>
    </row>
    <row r="42" spans="1:18" ht="13.5" customHeight="1">
      <c r="A42" s="359"/>
      <c r="B42" s="360" t="s">
        <v>389</v>
      </c>
      <c r="C42" s="361"/>
      <c r="D42" s="361"/>
      <c r="E42" s="361"/>
      <c r="F42" s="361"/>
      <c r="G42" s="362"/>
      <c r="H42" s="362"/>
      <c r="I42" s="361"/>
      <c r="J42" s="361"/>
      <c r="K42" s="362"/>
      <c r="L42" s="363"/>
      <c r="M42" s="363"/>
      <c r="N42" s="363"/>
      <c r="O42" s="363"/>
      <c r="P42" s="364"/>
      <c r="Q42" s="365"/>
      <c r="R42" s="366"/>
    </row>
    <row r="43" spans="1:18" ht="6" customHeight="1">
      <c r="A43" s="359"/>
      <c r="B43" s="367"/>
      <c r="C43" s="368"/>
      <c r="D43" s="369"/>
      <c r="E43" s="369"/>
      <c r="F43" s="369"/>
      <c r="G43" s="370"/>
      <c r="H43" s="370"/>
      <c r="I43" s="369"/>
      <c r="J43" s="361"/>
      <c r="K43" s="362"/>
      <c r="L43" s="363"/>
      <c r="M43" s="363"/>
      <c r="N43" s="363"/>
      <c r="O43" s="363"/>
      <c r="P43" s="364"/>
      <c r="Q43" s="365"/>
      <c r="R43" s="366"/>
    </row>
    <row r="46" spans="1:18">
      <c r="B46" s="420"/>
    </row>
  </sheetData>
  <mergeCells count="6">
    <mergeCell ref="B37:P37"/>
    <mergeCell ref="B2:P2"/>
    <mergeCell ref="C4:D5"/>
    <mergeCell ref="E4:E5"/>
    <mergeCell ref="G4:I4"/>
    <mergeCell ref="K4:P4"/>
  </mergeCells>
  <conditionalFormatting sqref="D27:D33">
    <cfRule type="dataBar" priority="4">
      <dataBar>
        <cfvo type="min"/>
        <cfvo type="max"/>
        <color theme="4"/>
      </dataBar>
      <extLst>
        <ext xmlns:x14="http://schemas.microsoft.com/office/spreadsheetml/2009/9/main" uri="{B025F937-C7B1-47D3-B67F-A62EFF666E3E}">
          <x14:id>{4FF24A2C-7F80-4B3C-95B4-7CF238483CB6}</x14:id>
        </ext>
      </extLst>
    </cfRule>
  </conditionalFormatting>
  <conditionalFormatting sqref="D34:F36 D8:F26 D7 F7 E29:F30 F31:F33 E27:F27">
    <cfRule type="dataBar" priority="12">
      <dataBar>
        <cfvo type="min"/>
        <cfvo type="max"/>
        <color theme="4"/>
      </dataBar>
      <extLst>
        <ext xmlns:x14="http://schemas.microsoft.com/office/spreadsheetml/2009/9/main" uri="{B025F937-C7B1-47D3-B67F-A62EFF666E3E}">
          <x14:id>{684378AC-0A3E-4AD1-9701-A87CCB9F42D9}</x14:id>
        </ext>
      </extLst>
    </cfRule>
  </conditionalFormatting>
  <conditionalFormatting sqref="E7">
    <cfRule type="dataBar" priority="6">
      <dataBar>
        <cfvo type="min"/>
        <cfvo type="max"/>
        <color theme="4"/>
      </dataBar>
      <extLst>
        <ext xmlns:x14="http://schemas.microsoft.com/office/spreadsheetml/2009/9/main" uri="{B025F937-C7B1-47D3-B67F-A62EFF666E3E}">
          <x14:id>{11439A5D-B404-4F84-96B7-40CBF9BA749C}</x14:id>
        </ext>
      </extLst>
    </cfRule>
  </conditionalFormatting>
  <conditionalFormatting sqref="F28">
    <cfRule type="dataBar" priority="5">
      <dataBar>
        <cfvo type="min"/>
        <cfvo type="max"/>
        <color theme="4"/>
      </dataBar>
      <extLst>
        <ext xmlns:x14="http://schemas.microsoft.com/office/spreadsheetml/2009/9/main" uri="{B025F937-C7B1-47D3-B67F-A62EFF666E3E}">
          <x14:id>{6F88A136-7AAD-4EBB-9873-8F7252372332}</x14:id>
        </ext>
      </extLst>
    </cfRule>
  </conditionalFormatting>
  <pageMargins left="0.74803149606299213" right="0.74803149606299213" top="0.98425196850393704" bottom="0.98425196850393704" header="0.51181102362204722" footer="0.51181102362204722"/>
  <pageSetup paperSize="9" scale="95" orientation="landscape" r:id="rId1"/>
  <headerFooter alignWithMargins="0"/>
  <extLst>
    <ext xmlns:x14="http://schemas.microsoft.com/office/spreadsheetml/2009/9/main" uri="{78C0D931-6437-407d-A8EE-F0AAD7539E65}">
      <x14:conditionalFormattings>
        <x14:conditionalFormatting xmlns:xm="http://schemas.microsoft.com/office/excel/2006/main">
          <x14:cfRule type="dataBar" id="{4FF24A2C-7F80-4B3C-95B4-7CF238483CB6}">
            <x14:dataBar minLength="0" maxLength="100" gradient="0">
              <x14:cfvo type="autoMin"/>
              <x14:cfvo type="autoMax"/>
              <x14:negativeFillColor rgb="FFFF0000"/>
              <x14:axisColor rgb="FF000000"/>
            </x14:dataBar>
          </x14:cfRule>
          <xm:sqref>D27:D33</xm:sqref>
        </x14:conditionalFormatting>
        <x14:conditionalFormatting xmlns:xm="http://schemas.microsoft.com/office/excel/2006/main">
          <x14:cfRule type="dataBar" id="{684378AC-0A3E-4AD1-9701-A87CCB9F42D9}">
            <x14:dataBar minLength="0" maxLength="100" gradient="0">
              <x14:cfvo type="autoMin"/>
              <x14:cfvo type="autoMax"/>
              <x14:negativeFillColor rgb="FFFF0000"/>
              <x14:axisColor rgb="FF000000"/>
            </x14:dataBar>
          </x14:cfRule>
          <xm:sqref>D34:F36 D8:F26 D7 F7 E29:F30 F31:F33 E27:F27</xm:sqref>
        </x14:conditionalFormatting>
        <x14:conditionalFormatting xmlns:xm="http://schemas.microsoft.com/office/excel/2006/main">
          <x14:cfRule type="dataBar" id="{11439A5D-B404-4F84-96B7-40CBF9BA749C}">
            <x14:dataBar minLength="0" maxLength="100" gradient="0">
              <x14:cfvo type="autoMin"/>
              <x14:cfvo type="autoMax"/>
              <x14:negativeFillColor rgb="FFFF0000"/>
              <x14:axisColor rgb="FF000000"/>
            </x14:dataBar>
          </x14:cfRule>
          <xm:sqref>E7</xm:sqref>
        </x14:conditionalFormatting>
        <x14:conditionalFormatting xmlns:xm="http://schemas.microsoft.com/office/excel/2006/main">
          <x14:cfRule type="dataBar" id="{6F88A136-7AAD-4EBB-9873-8F7252372332}">
            <x14:dataBar minLength="0" maxLength="100" gradient="0">
              <x14:cfvo type="autoMin"/>
              <x14:cfvo type="autoMax"/>
              <x14:negativeFillColor rgb="FFFF0000"/>
              <x14:axisColor rgb="FF000000"/>
            </x14:dataBar>
          </x14:cfRule>
          <xm:sqref>F28</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2DCB-BBEE-49E6-AB3D-4B292B165120}">
  <sheetPr>
    <tabColor theme="4"/>
  </sheetPr>
  <dimension ref="A1:K40"/>
  <sheetViews>
    <sheetView workbookViewId="0">
      <selection activeCell="B6" sqref="B6"/>
    </sheetView>
  </sheetViews>
  <sheetFormatPr baseColWidth="10" defaultColWidth="8.83203125" defaultRowHeight="13"/>
  <cols>
    <col min="1" max="1" width="1.5" customWidth="1"/>
    <col min="2" max="2" width="21" customWidth="1"/>
    <col min="5" max="5" width="1.5" customWidth="1"/>
    <col min="8" max="8" width="1.5" customWidth="1"/>
    <col min="11" max="11" width="1.5" customWidth="1"/>
  </cols>
  <sheetData>
    <row r="1" spans="1:11" ht="6" customHeight="1">
      <c r="A1" s="107"/>
      <c r="B1" s="107"/>
      <c r="C1" s="107"/>
      <c r="D1" s="107"/>
      <c r="E1" s="107"/>
      <c r="F1" s="107"/>
      <c r="G1" s="107"/>
      <c r="H1" s="107"/>
      <c r="I1" s="107"/>
      <c r="J1" s="107"/>
      <c r="K1" s="107"/>
    </row>
    <row r="2" spans="1:11" ht="18">
      <c r="A2" s="107"/>
      <c r="B2" s="109" t="s">
        <v>159</v>
      </c>
      <c r="C2" s="107"/>
      <c r="D2" s="107"/>
      <c r="E2" s="107"/>
      <c r="F2" s="107"/>
      <c r="G2" s="107"/>
      <c r="H2" s="107"/>
      <c r="I2" s="107"/>
      <c r="J2" s="107"/>
      <c r="K2" s="107"/>
    </row>
    <row r="3" spans="1:11" ht="14">
      <c r="A3" s="107"/>
      <c r="B3" s="755" t="s">
        <v>390</v>
      </c>
      <c r="C3" s="755"/>
      <c r="D3" s="755"/>
      <c r="E3" s="755"/>
      <c r="F3" s="755"/>
      <c r="G3" s="755"/>
      <c r="H3" s="755"/>
      <c r="I3" s="755"/>
      <c r="J3" s="755"/>
      <c r="K3" s="107"/>
    </row>
    <row r="4" spans="1:11">
      <c r="A4" s="107"/>
      <c r="B4" s="107"/>
      <c r="C4" s="107"/>
      <c r="D4" s="107"/>
      <c r="E4" s="107"/>
      <c r="F4" s="107"/>
      <c r="G4" s="107"/>
      <c r="H4" s="107"/>
      <c r="I4" s="107"/>
      <c r="J4" s="107"/>
      <c r="K4" s="107"/>
    </row>
    <row r="5" spans="1:11" ht="14">
      <c r="A5" s="84"/>
      <c r="B5" s="277"/>
      <c r="C5" s="727" t="s">
        <v>30</v>
      </c>
      <c r="D5" s="727"/>
      <c r="E5" s="671"/>
      <c r="F5" s="727" t="s">
        <v>395</v>
      </c>
      <c r="G5" s="727"/>
      <c r="H5" s="277"/>
      <c r="I5" s="727" t="s">
        <v>391</v>
      </c>
      <c r="J5" s="727"/>
      <c r="K5" s="84"/>
    </row>
    <row r="6" spans="1:11" ht="14">
      <c r="A6" s="84"/>
      <c r="B6" s="301" t="s">
        <v>392</v>
      </c>
      <c r="C6" s="289" t="s">
        <v>393</v>
      </c>
      <c r="D6" s="289" t="s">
        <v>394</v>
      </c>
      <c r="E6" s="289"/>
      <c r="F6" s="289" t="s">
        <v>393</v>
      </c>
      <c r="G6" s="289" t="s">
        <v>394</v>
      </c>
      <c r="H6" s="289"/>
      <c r="I6" s="289" t="s">
        <v>393</v>
      </c>
      <c r="J6" s="289" t="s">
        <v>394</v>
      </c>
      <c r="K6" s="84"/>
    </row>
    <row r="7" spans="1:11" ht="6" customHeight="1">
      <c r="A7" s="84"/>
      <c r="B7" s="277"/>
      <c r="C7" s="277"/>
      <c r="D7" s="277"/>
      <c r="E7" s="277"/>
      <c r="F7" s="277"/>
      <c r="G7" s="277"/>
      <c r="H7" s="277"/>
      <c r="I7" s="277"/>
      <c r="J7" s="277"/>
      <c r="K7" s="84"/>
    </row>
    <row r="8" spans="1:11" ht="14">
      <c r="A8" s="84"/>
      <c r="B8" s="672" t="s">
        <v>163</v>
      </c>
      <c r="C8" s="672">
        <v>904</v>
      </c>
      <c r="D8" s="673">
        <v>429.11731896613105</v>
      </c>
      <c r="E8" s="672"/>
      <c r="F8" s="672">
        <v>924</v>
      </c>
      <c r="G8" s="673">
        <v>440.0083811120212</v>
      </c>
      <c r="H8" s="672"/>
      <c r="I8" s="674">
        <f t="shared" ref="I8:J39" si="0">F8/C8-1</f>
        <v>2.2123893805309658E-2</v>
      </c>
      <c r="J8" s="674">
        <f t="shared" si="0"/>
        <v>2.538015051951259E-2</v>
      </c>
      <c r="K8" s="84"/>
    </row>
    <row r="9" spans="1:11" ht="14">
      <c r="A9" s="84"/>
      <c r="B9" s="675" t="s">
        <v>166</v>
      </c>
      <c r="C9" s="675">
        <v>788</v>
      </c>
      <c r="D9" s="676">
        <v>247.22499356838532</v>
      </c>
      <c r="E9" s="675"/>
      <c r="F9" s="675">
        <v>950</v>
      </c>
      <c r="G9" s="676">
        <v>299.76019184652279</v>
      </c>
      <c r="H9" s="675"/>
      <c r="I9" s="677">
        <f t="shared" si="0"/>
        <v>0.20558375634517767</v>
      </c>
      <c r="J9" s="677">
        <f t="shared" si="0"/>
        <v>0.21249954351239819</v>
      </c>
      <c r="K9" s="84"/>
    </row>
    <row r="10" spans="1:11" ht="14">
      <c r="A10" s="84"/>
      <c r="B10" s="675" t="s">
        <v>176</v>
      </c>
      <c r="C10" s="675">
        <v>541</v>
      </c>
      <c r="D10" s="676">
        <v>249.03905908348105</v>
      </c>
      <c r="E10" s="675"/>
      <c r="F10" s="675">
        <v>586</v>
      </c>
      <c r="G10" s="676">
        <v>270.11703535029937</v>
      </c>
      <c r="H10" s="675"/>
      <c r="I10" s="677">
        <f t="shared" si="0"/>
        <v>8.3179297597042456E-2</v>
      </c>
      <c r="J10" s="677">
        <f t="shared" si="0"/>
        <v>8.4637230578969991E-2</v>
      </c>
      <c r="K10" s="84"/>
    </row>
    <row r="11" spans="1:11" ht="14">
      <c r="A11" s="84"/>
      <c r="B11" s="675" t="s">
        <v>170</v>
      </c>
      <c r="C11" s="675">
        <v>573</v>
      </c>
      <c r="D11" s="676">
        <v>215.89157947485219</v>
      </c>
      <c r="E11" s="675"/>
      <c r="F11" s="675">
        <v>715</v>
      </c>
      <c r="G11" s="676">
        <v>268.03319862946938</v>
      </c>
      <c r="H11" s="675"/>
      <c r="I11" s="677">
        <f t="shared" si="0"/>
        <v>0.24781849912739973</v>
      </c>
      <c r="J11" s="677">
        <f t="shared" si="0"/>
        <v>0.24151761398684291</v>
      </c>
      <c r="K11" s="84"/>
    </row>
    <row r="12" spans="1:11" ht="14">
      <c r="A12" s="84"/>
      <c r="B12" s="675" t="s">
        <v>164</v>
      </c>
      <c r="C12" s="675">
        <v>699</v>
      </c>
      <c r="D12" s="676">
        <v>265.41414478930142</v>
      </c>
      <c r="E12" s="675"/>
      <c r="F12" s="675">
        <v>701</v>
      </c>
      <c r="G12" s="676">
        <v>265.68125829069544</v>
      </c>
      <c r="H12" s="675"/>
      <c r="I12" s="677">
        <f t="shared" si="0"/>
        <v>2.8612303290413976E-3</v>
      </c>
      <c r="J12" s="677">
        <f t="shared" si="0"/>
        <v>1.0064026602880638E-3</v>
      </c>
      <c r="K12" s="84"/>
    </row>
    <row r="13" spans="1:11" ht="14">
      <c r="A13" s="84"/>
      <c r="B13" s="675" t="s">
        <v>171</v>
      </c>
      <c r="C13" s="675">
        <v>771</v>
      </c>
      <c r="D13" s="676">
        <v>245.94478204698788</v>
      </c>
      <c r="E13" s="675"/>
      <c r="F13" s="675">
        <v>809</v>
      </c>
      <c r="G13" s="676">
        <v>256.99999364647726</v>
      </c>
      <c r="H13" s="675"/>
      <c r="I13" s="677">
        <f t="shared" si="0"/>
        <v>4.9286640726329489E-2</v>
      </c>
      <c r="J13" s="677">
        <f t="shared" si="0"/>
        <v>4.4949974166873297E-2</v>
      </c>
      <c r="K13" s="84"/>
    </row>
    <row r="14" spans="1:11" ht="14">
      <c r="A14" s="84"/>
      <c r="B14" s="675" t="s">
        <v>168</v>
      </c>
      <c r="C14" s="675">
        <v>741</v>
      </c>
      <c r="D14" s="676">
        <v>201.25260053124168</v>
      </c>
      <c r="E14" s="675"/>
      <c r="F14" s="675">
        <v>885</v>
      </c>
      <c r="G14" s="676">
        <v>236.30057433054847</v>
      </c>
      <c r="H14" s="675"/>
      <c r="I14" s="677">
        <f t="shared" si="0"/>
        <v>0.19433198380566807</v>
      </c>
      <c r="J14" s="677">
        <f t="shared" si="0"/>
        <v>0.17414917226804261</v>
      </c>
      <c r="K14" s="84"/>
    </row>
    <row r="15" spans="1:11" ht="14">
      <c r="A15" s="84"/>
      <c r="B15" s="675" t="s">
        <v>177</v>
      </c>
      <c r="C15" s="675">
        <v>444</v>
      </c>
      <c r="D15" s="676">
        <v>196.19886787950563</v>
      </c>
      <c r="E15" s="675"/>
      <c r="F15" s="675">
        <v>515</v>
      </c>
      <c r="G15" s="676">
        <v>230.91685199799127</v>
      </c>
      <c r="H15" s="675"/>
      <c r="I15" s="677">
        <f t="shared" si="0"/>
        <v>0.15990990990990994</v>
      </c>
      <c r="J15" s="677">
        <f t="shared" si="0"/>
        <v>0.17695302981976169</v>
      </c>
      <c r="K15" s="84"/>
    </row>
    <row r="16" spans="1:11" ht="14">
      <c r="A16" s="84"/>
      <c r="B16" s="675" t="s">
        <v>174</v>
      </c>
      <c r="C16" s="675">
        <v>476</v>
      </c>
      <c r="D16" s="676">
        <v>158.54775584977932</v>
      </c>
      <c r="E16" s="675"/>
      <c r="F16" s="675">
        <v>660</v>
      </c>
      <c r="G16" s="676">
        <v>219.08350068878525</v>
      </c>
      <c r="H16" s="675"/>
      <c r="I16" s="677">
        <f t="shared" si="0"/>
        <v>0.38655462184873945</v>
      </c>
      <c r="J16" s="677">
        <f t="shared" si="0"/>
        <v>0.38181394945988556</v>
      </c>
      <c r="K16" s="84"/>
    </row>
    <row r="17" spans="1:11" ht="14">
      <c r="A17" s="84"/>
      <c r="B17" s="675" t="s">
        <v>403</v>
      </c>
      <c r="C17" s="675">
        <v>513</v>
      </c>
      <c r="D17" s="676">
        <v>226.68923248240176</v>
      </c>
      <c r="E17" s="675"/>
      <c r="F17" s="675">
        <v>502</v>
      </c>
      <c r="G17" s="676">
        <v>215.68484233953606</v>
      </c>
      <c r="H17" s="675"/>
      <c r="I17" s="677">
        <f t="shared" si="0"/>
        <v>-2.1442495126705707E-2</v>
      </c>
      <c r="J17" s="677">
        <f t="shared" si="0"/>
        <v>-4.8543947246016628E-2</v>
      </c>
      <c r="K17" s="84"/>
    </row>
    <row r="18" spans="1:11" ht="14">
      <c r="A18" s="84"/>
      <c r="B18" s="675" t="s">
        <v>169</v>
      </c>
      <c r="C18" s="675">
        <v>590</v>
      </c>
      <c r="D18" s="676">
        <v>179.25339442126977</v>
      </c>
      <c r="E18" s="675"/>
      <c r="F18" s="675">
        <v>689</v>
      </c>
      <c r="G18" s="676">
        <v>207.60140530182051</v>
      </c>
      <c r="H18" s="675"/>
      <c r="I18" s="677">
        <f t="shared" si="0"/>
        <v>0.16779661016949143</v>
      </c>
      <c r="J18" s="677">
        <f t="shared" si="0"/>
        <v>0.15814490415690008</v>
      </c>
      <c r="K18" s="84"/>
    </row>
    <row r="19" spans="1:11" ht="14">
      <c r="A19" s="84"/>
      <c r="B19" s="675" t="s">
        <v>185</v>
      </c>
      <c r="C19" s="675">
        <v>221</v>
      </c>
      <c r="D19" s="676">
        <v>150.85427204281257</v>
      </c>
      <c r="E19" s="675"/>
      <c r="F19" s="675">
        <v>274</v>
      </c>
      <c r="G19" s="676">
        <v>189.59575969775392</v>
      </c>
      <c r="H19" s="675"/>
      <c r="I19" s="677">
        <f t="shared" si="0"/>
        <v>0.23981900452488691</v>
      </c>
      <c r="J19" s="677">
        <f t="shared" si="0"/>
        <v>0.25681399094847301</v>
      </c>
      <c r="K19" s="84"/>
    </row>
    <row r="20" spans="1:11" ht="14">
      <c r="A20" s="84"/>
      <c r="B20" s="675" t="s">
        <v>165</v>
      </c>
      <c r="C20" s="675">
        <v>604</v>
      </c>
      <c r="D20" s="676">
        <v>184.13848189406551</v>
      </c>
      <c r="E20" s="675"/>
      <c r="F20" s="675">
        <v>615</v>
      </c>
      <c r="G20" s="676">
        <v>187.82411111857655</v>
      </c>
      <c r="H20" s="675"/>
      <c r="I20" s="677">
        <f t="shared" si="0"/>
        <v>1.8211920529801251E-2</v>
      </c>
      <c r="J20" s="677">
        <f t="shared" si="0"/>
        <v>2.0015529543853772E-2</v>
      </c>
      <c r="K20" s="84"/>
    </row>
    <row r="21" spans="1:11" ht="14">
      <c r="A21" s="84"/>
      <c r="B21" s="675" t="s">
        <v>167</v>
      </c>
      <c r="C21" s="675">
        <v>868</v>
      </c>
      <c r="D21" s="676">
        <v>215.80390684630436</v>
      </c>
      <c r="E21" s="675"/>
      <c r="F21" s="675">
        <v>746</v>
      </c>
      <c r="G21" s="676">
        <v>182.24369842332328</v>
      </c>
      <c r="H21" s="675"/>
      <c r="I21" s="677">
        <f t="shared" si="0"/>
        <v>-0.14055299539170507</v>
      </c>
      <c r="J21" s="677">
        <f t="shared" si="0"/>
        <v>-0.15551251556758272</v>
      </c>
      <c r="K21" s="84"/>
    </row>
    <row r="22" spans="1:11" ht="14">
      <c r="A22" s="84"/>
      <c r="B22" s="675" t="s">
        <v>173</v>
      </c>
      <c r="C22" s="675">
        <v>498</v>
      </c>
      <c r="D22" s="676">
        <v>168.00485797179678</v>
      </c>
      <c r="E22" s="675"/>
      <c r="F22" s="675">
        <v>545</v>
      </c>
      <c r="G22" s="676">
        <v>181.95293929115141</v>
      </c>
      <c r="H22" s="675"/>
      <c r="I22" s="677">
        <f t="shared" si="0"/>
        <v>9.4377510040160706E-2</v>
      </c>
      <c r="J22" s="677">
        <f t="shared" si="0"/>
        <v>8.3021892865122515E-2</v>
      </c>
      <c r="K22" s="84"/>
    </row>
    <row r="23" spans="1:11" ht="14">
      <c r="A23" s="84"/>
      <c r="B23" s="675" t="s">
        <v>178</v>
      </c>
      <c r="C23" s="675">
        <v>420</v>
      </c>
      <c r="D23" s="676">
        <v>150.80465052817533</v>
      </c>
      <c r="E23" s="675"/>
      <c r="F23" s="675">
        <v>503</v>
      </c>
      <c r="G23" s="676">
        <v>179.81175175253901</v>
      </c>
      <c r="H23" s="675"/>
      <c r="I23" s="677">
        <f t="shared" si="0"/>
        <v>0.19761904761904758</v>
      </c>
      <c r="J23" s="677">
        <f t="shared" si="0"/>
        <v>0.19234885079982456</v>
      </c>
      <c r="K23" s="84"/>
    </row>
    <row r="24" spans="1:11" ht="14">
      <c r="A24" s="84"/>
      <c r="B24" s="675" t="s">
        <v>175</v>
      </c>
      <c r="C24" s="675">
        <v>547</v>
      </c>
      <c r="D24" s="676">
        <v>156.84542840020532</v>
      </c>
      <c r="E24" s="675"/>
      <c r="F24" s="675">
        <v>581</v>
      </c>
      <c r="G24" s="676">
        <v>164.60042609129232</v>
      </c>
      <c r="H24" s="675"/>
      <c r="I24" s="677">
        <f t="shared" si="0"/>
        <v>6.2157221206581292E-2</v>
      </c>
      <c r="J24" s="677">
        <f t="shared" si="0"/>
        <v>4.9443568551449379E-2</v>
      </c>
      <c r="K24" s="84"/>
    </row>
    <row r="25" spans="1:11" ht="14">
      <c r="A25" s="84"/>
      <c r="B25" s="675" t="s">
        <v>172</v>
      </c>
      <c r="C25" s="675">
        <v>532</v>
      </c>
      <c r="D25" s="676">
        <v>140.29424872693517</v>
      </c>
      <c r="E25" s="675"/>
      <c r="F25" s="675">
        <v>592</v>
      </c>
      <c r="G25" s="676">
        <v>153.37383577082011</v>
      </c>
      <c r="H25" s="675"/>
      <c r="I25" s="677">
        <f t="shared" si="0"/>
        <v>0.11278195488721798</v>
      </c>
      <c r="J25" s="677">
        <f t="shared" si="0"/>
        <v>9.3229673793276291E-2</v>
      </c>
      <c r="K25" s="84"/>
    </row>
    <row r="26" spans="1:11" ht="14">
      <c r="A26" s="84"/>
      <c r="B26" s="675" t="s">
        <v>186</v>
      </c>
      <c r="C26" s="675">
        <v>284</v>
      </c>
      <c r="D26" s="676">
        <v>151.48363283354402</v>
      </c>
      <c r="E26" s="675"/>
      <c r="F26" s="675">
        <v>286</v>
      </c>
      <c r="G26" s="676">
        <v>151.57377031803992</v>
      </c>
      <c r="H26" s="675"/>
      <c r="I26" s="677">
        <f t="shared" si="0"/>
        <v>7.0422535211267512E-3</v>
      </c>
      <c r="J26" s="677">
        <f t="shared" si="0"/>
        <v>5.9503117802139904E-4</v>
      </c>
      <c r="K26" s="84"/>
    </row>
    <row r="27" spans="1:11" ht="14">
      <c r="A27" s="84"/>
      <c r="B27" s="675" t="s">
        <v>183</v>
      </c>
      <c r="C27" s="675">
        <v>428</v>
      </c>
      <c r="D27" s="676">
        <v>144.97613652145341</v>
      </c>
      <c r="E27" s="675"/>
      <c r="F27" s="675">
        <v>388</v>
      </c>
      <c r="G27" s="676">
        <v>129.58213102490114</v>
      </c>
      <c r="H27" s="675"/>
      <c r="I27" s="677">
        <f t="shared" si="0"/>
        <v>-9.3457943925233655E-2</v>
      </c>
      <c r="J27" s="677">
        <f t="shared" si="0"/>
        <v>-0.1061830302966742</v>
      </c>
      <c r="K27" s="84"/>
    </row>
    <row r="28" spans="1:11" ht="14">
      <c r="A28" s="84"/>
      <c r="B28" s="675" t="s">
        <v>191</v>
      </c>
      <c r="C28" s="675">
        <v>308</v>
      </c>
      <c r="D28" s="676">
        <v>113.94535802149423</v>
      </c>
      <c r="E28" s="675"/>
      <c r="F28" s="675">
        <v>335</v>
      </c>
      <c r="G28" s="676">
        <v>121.25643383018308</v>
      </c>
      <c r="H28" s="675"/>
      <c r="I28" s="677">
        <f t="shared" si="0"/>
        <v>8.7662337662337553E-2</v>
      </c>
      <c r="J28" s="677">
        <f t="shared" si="0"/>
        <v>6.4162998261936499E-2</v>
      </c>
      <c r="K28" s="84"/>
    </row>
    <row r="29" spans="1:11" ht="14">
      <c r="A29" s="84"/>
      <c r="B29" s="675" t="s">
        <v>181</v>
      </c>
      <c r="C29" s="675">
        <v>398</v>
      </c>
      <c r="D29" s="676">
        <v>125.72814920582772</v>
      </c>
      <c r="E29" s="675"/>
      <c r="F29" s="675">
        <v>384</v>
      </c>
      <c r="G29" s="676">
        <v>119.54014400851723</v>
      </c>
      <c r="H29" s="675"/>
      <c r="I29" s="677">
        <f t="shared" si="0"/>
        <v>-3.5175879396984966E-2</v>
      </c>
      <c r="J29" s="677">
        <f t="shared" si="0"/>
        <v>-4.9217341036176365E-2</v>
      </c>
      <c r="K29" s="84"/>
    </row>
    <row r="30" spans="1:11" ht="14">
      <c r="A30" s="84"/>
      <c r="B30" s="675" t="s">
        <v>184</v>
      </c>
      <c r="C30" s="675">
        <v>276</v>
      </c>
      <c r="D30" s="676">
        <v>85.720408600614334</v>
      </c>
      <c r="E30" s="675"/>
      <c r="F30" s="675">
        <v>382</v>
      </c>
      <c r="G30" s="676">
        <v>116.04416969181463</v>
      </c>
      <c r="H30" s="675"/>
      <c r="I30" s="677">
        <f t="shared" si="0"/>
        <v>0.38405797101449268</v>
      </c>
      <c r="J30" s="677">
        <f t="shared" si="0"/>
        <v>0.35375194292976087</v>
      </c>
      <c r="K30" s="84"/>
    </row>
    <row r="31" spans="1:11" ht="14">
      <c r="A31" s="84"/>
      <c r="B31" s="675" t="s">
        <v>180</v>
      </c>
      <c r="C31" s="675">
        <v>454</v>
      </c>
      <c r="D31" s="676">
        <v>135.98555078640985</v>
      </c>
      <c r="E31" s="675"/>
      <c r="F31" s="675">
        <v>383</v>
      </c>
      <c r="G31" s="676">
        <v>113.42938798477736</v>
      </c>
      <c r="H31" s="675"/>
      <c r="I31" s="677">
        <f t="shared" si="0"/>
        <v>-0.15638766519823788</v>
      </c>
      <c r="J31" s="677">
        <f t="shared" si="0"/>
        <v>-0.16587176116278013</v>
      </c>
      <c r="K31" s="84"/>
    </row>
    <row r="32" spans="1:11" ht="14">
      <c r="A32" s="84"/>
      <c r="B32" s="675" t="s">
        <v>192</v>
      </c>
      <c r="C32" s="675">
        <v>207</v>
      </c>
      <c r="D32" s="676">
        <v>77.559752857908293</v>
      </c>
      <c r="E32" s="675"/>
      <c r="F32" s="675">
        <v>278</v>
      </c>
      <c r="G32" s="676">
        <v>102.68760804361638</v>
      </c>
      <c r="H32" s="675"/>
      <c r="I32" s="677">
        <f t="shared" si="0"/>
        <v>0.34299516908212557</v>
      </c>
      <c r="J32" s="677">
        <f t="shared" si="0"/>
        <v>0.3239805989550153</v>
      </c>
      <c r="K32" s="84"/>
    </row>
    <row r="33" spans="1:11" ht="14">
      <c r="A33" s="84"/>
      <c r="B33" s="675" t="s">
        <v>187</v>
      </c>
      <c r="C33" s="675">
        <v>248</v>
      </c>
      <c r="D33" s="676">
        <v>114.21465908305893</v>
      </c>
      <c r="E33" s="675"/>
      <c r="F33" s="675">
        <v>220</v>
      </c>
      <c r="G33" s="676">
        <v>100.66853055976279</v>
      </c>
      <c r="H33" s="675"/>
      <c r="I33" s="677">
        <f t="shared" si="0"/>
        <v>-0.11290322580645162</v>
      </c>
      <c r="J33" s="677">
        <f t="shared" si="0"/>
        <v>-0.11860236358491572</v>
      </c>
      <c r="K33" s="84"/>
    </row>
    <row r="34" spans="1:11" ht="14">
      <c r="A34" s="84"/>
      <c r="B34" s="675" t="s">
        <v>188</v>
      </c>
      <c r="C34" s="675">
        <v>301</v>
      </c>
      <c r="D34" s="676">
        <v>90.531216727522093</v>
      </c>
      <c r="E34" s="675"/>
      <c r="F34" s="675">
        <v>333</v>
      </c>
      <c r="G34" s="676">
        <v>99.30841974358745</v>
      </c>
      <c r="H34" s="675"/>
      <c r="I34" s="677">
        <f t="shared" si="0"/>
        <v>0.10631229235880402</v>
      </c>
      <c r="J34" s="677">
        <f t="shared" si="0"/>
        <v>9.6952226351742166E-2</v>
      </c>
      <c r="K34" s="84"/>
    </row>
    <row r="35" spans="1:11" ht="14">
      <c r="A35" s="84"/>
      <c r="B35" s="675" t="s">
        <v>182</v>
      </c>
      <c r="C35" s="675">
        <v>445</v>
      </c>
      <c r="D35" s="676">
        <v>111.75541385917813</v>
      </c>
      <c r="E35" s="675"/>
      <c r="F35" s="675">
        <v>396</v>
      </c>
      <c r="G35" s="676">
        <v>97.76570793729168</v>
      </c>
      <c r="H35" s="675"/>
      <c r="I35" s="677">
        <f t="shared" si="0"/>
        <v>-0.11011235955056176</v>
      </c>
      <c r="J35" s="677">
        <f t="shared" si="0"/>
        <v>-0.1251814604661099</v>
      </c>
      <c r="K35" s="84"/>
    </row>
    <row r="36" spans="1:11" ht="14">
      <c r="A36" s="84"/>
      <c r="B36" s="675" t="s">
        <v>189</v>
      </c>
      <c r="C36" s="675">
        <v>209</v>
      </c>
      <c r="D36" s="676">
        <v>98.428905131489714</v>
      </c>
      <c r="E36" s="675"/>
      <c r="F36" s="675">
        <v>209</v>
      </c>
      <c r="G36" s="676">
        <v>97.424542594103258</v>
      </c>
      <c r="H36" s="675"/>
      <c r="I36" s="677">
        <f t="shared" si="0"/>
        <v>0</v>
      </c>
      <c r="J36" s="677">
        <f t="shared" si="0"/>
        <v>-1.0203938934856049E-2</v>
      </c>
      <c r="K36" s="84"/>
    </row>
    <row r="37" spans="1:11" ht="14">
      <c r="A37" s="84"/>
      <c r="B37" s="675" t="s">
        <v>190</v>
      </c>
      <c r="C37" s="675">
        <v>226</v>
      </c>
      <c r="D37" s="676">
        <v>89.638431882724362</v>
      </c>
      <c r="E37" s="675"/>
      <c r="F37" s="675">
        <v>203</v>
      </c>
      <c r="G37" s="676">
        <v>79.162669536800891</v>
      </c>
      <c r="H37" s="675"/>
      <c r="I37" s="677">
        <f t="shared" si="0"/>
        <v>-0.10176991150442483</v>
      </c>
      <c r="J37" s="677">
        <f t="shared" si="0"/>
        <v>-0.11686686308423055</v>
      </c>
      <c r="K37" s="84"/>
    </row>
    <row r="38" spans="1:11" ht="14">
      <c r="A38" s="84"/>
      <c r="B38" s="675" t="s">
        <v>193</v>
      </c>
      <c r="C38" s="675">
        <v>98</v>
      </c>
      <c r="D38" s="676">
        <v>57.383768591169925</v>
      </c>
      <c r="E38" s="675"/>
      <c r="F38" s="675">
        <v>135</v>
      </c>
      <c r="G38" s="676">
        <v>78.173858661663544</v>
      </c>
      <c r="H38" s="675"/>
      <c r="I38" s="677">
        <f t="shared" si="0"/>
        <v>0.37755102040816335</v>
      </c>
      <c r="J38" s="677">
        <f t="shared" si="0"/>
        <v>0.36229914104478578</v>
      </c>
      <c r="K38" s="84"/>
    </row>
    <row r="39" spans="1:11" ht="14">
      <c r="A39" s="84"/>
      <c r="B39" s="675" t="s">
        <v>194</v>
      </c>
      <c r="C39" s="675">
        <v>101</v>
      </c>
      <c r="D39" s="676">
        <v>51.514579646130542</v>
      </c>
      <c r="E39" s="675"/>
      <c r="F39" s="675">
        <v>138</v>
      </c>
      <c r="G39" s="676">
        <v>70.165448092821777</v>
      </c>
      <c r="H39" s="675"/>
      <c r="I39" s="677">
        <f t="shared" si="0"/>
        <v>0.36633663366336644</v>
      </c>
      <c r="J39" s="677">
        <f t="shared" si="0"/>
        <v>0.36205028896304259</v>
      </c>
      <c r="K39" s="84"/>
    </row>
    <row r="40" spans="1:11" ht="6" customHeight="1">
      <c r="A40" s="84"/>
      <c r="B40" s="84"/>
      <c r="C40" s="84"/>
      <c r="D40" s="84"/>
      <c r="E40" s="84"/>
      <c r="F40" s="84"/>
      <c r="G40" s="84"/>
      <c r="H40" s="84"/>
      <c r="I40" s="670"/>
      <c r="J40" s="84"/>
      <c r="K40" s="84"/>
    </row>
  </sheetData>
  <mergeCells count="4">
    <mergeCell ref="B3:J3"/>
    <mergeCell ref="C5:D5"/>
    <mergeCell ref="F5:G5"/>
    <mergeCell ref="I5:J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EC10CD6A863549826C5AB7C2A86FFB" ma:contentTypeVersion="13" ma:contentTypeDescription="Create a new document." ma:contentTypeScope="" ma:versionID="7440231b93dcea001669860753035a70">
  <xsd:schema xmlns:xsd="http://www.w3.org/2001/XMLSchema" xmlns:xs="http://www.w3.org/2001/XMLSchema" xmlns:p="http://schemas.microsoft.com/office/2006/metadata/properties" xmlns:ns3="e5c1a2ba-149f-4eab-8802-a42ca81ea6ff" xmlns:ns4="341d02ec-0685-4b8d-9a78-b41b472e30b5" targetNamespace="http://schemas.microsoft.com/office/2006/metadata/properties" ma:root="true" ma:fieldsID="c1d87c2957807b2a709e98a095c6db0d" ns3:_="" ns4:_="">
    <xsd:import namespace="e5c1a2ba-149f-4eab-8802-a42ca81ea6ff"/>
    <xsd:import namespace="341d02ec-0685-4b8d-9a78-b41b472e30b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c1a2ba-149f-4eab-8802-a42ca81ea6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1d02ec-0685-4b8d-9a78-b41b472e30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5c1a2ba-149f-4eab-8802-a42ca81ea6ff" xsi:nil="true"/>
  </documentManagement>
</p:properties>
</file>

<file path=customXml/itemProps1.xml><?xml version="1.0" encoding="utf-8"?>
<ds:datastoreItem xmlns:ds="http://schemas.openxmlformats.org/officeDocument/2006/customXml" ds:itemID="{A6F345D6-E437-4F0F-82F1-99D5F76B1D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c1a2ba-149f-4eab-8802-a42ca81ea6ff"/>
    <ds:schemaRef ds:uri="341d02ec-0685-4b8d-9a78-b41b472e30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FF3398-A41F-46E5-86F5-089F382C02EF}">
  <ds:schemaRefs>
    <ds:schemaRef ds:uri="http://schemas.microsoft.com/sharepoint/v3/contenttype/forms"/>
  </ds:schemaRefs>
</ds:datastoreItem>
</file>

<file path=customXml/itemProps3.xml><?xml version="1.0" encoding="utf-8"?>
<ds:datastoreItem xmlns:ds="http://schemas.openxmlformats.org/officeDocument/2006/customXml" ds:itemID="{AB0CAFB5-826A-4989-81E6-9873ADE6CE1D}">
  <ds:schemaRefs>
    <ds:schemaRef ds:uri="http://schemas.microsoft.com/office/2006/metadata/properties"/>
    <ds:schemaRef ds:uri="341d02ec-0685-4b8d-9a78-b41b472e30b5"/>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e5c1a2ba-149f-4eab-8802-a42ca81ea6ff"/>
    <ds:schemaRef ds:uri="http://www.w3.org/XML/1998/namespace"/>
    <ds:schemaRef ds:uri="http://purl.org/dc/dcmitype/"/>
  </ds:schemaRefs>
</ds:datastoreItem>
</file>

<file path=docMetadata/LabelInfo.xml><?xml version="1.0" encoding="utf-8"?>
<clbl:labelList xmlns:clbl="http://schemas.microsoft.com/office/2020/mipLabelMetadata">
  <clbl:label id="{a8f77787-5df4-43b6-a2a8-8d8b678a318b}" enabled="1" method="Standard" siteId="{1ce6dd9e-b337-4088-be5e-8dbbec04b34a}"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T.A1a</vt:lpstr>
      <vt:lpstr>T.A1b </vt:lpstr>
      <vt:lpstr>Table 1</vt:lpstr>
      <vt:lpstr>Table 2</vt:lpstr>
      <vt:lpstr>T.A3</vt:lpstr>
      <vt:lpstr>Table 3</vt:lpstr>
      <vt:lpstr>T.A4b</vt:lpstr>
      <vt:lpstr>Table 4</vt:lpstr>
      <vt:lpstr>T.A6</vt:lpstr>
      <vt:lpstr>Table 5</vt:lpstr>
      <vt:lpstr>Table 6</vt:lpstr>
      <vt:lpstr>T.A8</vt:lpstr>
      <vt:lpstr>Table 7</vt:lpstr>
      <vt:lpstr>Table 8</vt:lpstr>
      <vt:lpstr>'Table 7'!Print_Area</vt:lpstr>
    </vt:vector>
  </TitlesOfParts>
  <Manager/>
  <Company>Houses of Parliament UK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Gavin Berman</dc:creator>
  <cp:keywords/>
  <dc:description/>
  <cp:lastModifiedBy>Joshua Bon</cp:lastModifiedBy>
  <cp:revision/>
  <dcterms:created xsi:type="dcterms:W3CDTF">2006-06-29T10:40:12Z</dcterms:created>
  <dcterms:modified xsi:type="dcterms:W3CDTF">2026-04-15T01:29:52Z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f77787-5df4-43b6-a2a8-8d8b678a318b_Enabled">
    <vt:lpwstr>true</vt:lpwstr>
  </property>
  <property fmtid="{D5CDD505-2E9C-101B-9397-08002B2CF9AE}" pid="3" name="MSIP_Label_a8f77787-5df4-43b6-a2a8-8d8b678a318b_SetDate">
    <vt:lpwstr>2023-10-09T13:16:28Z</vt:lpwstr>
  </property>
  <property fmtid="{D5CDD505-2E9C-101B-9397-08002B2CF9AE}" pid="4" name="MSIP_Label_a8f77787-5df4-43b6-a2a8-8d8b678a318b_Method">
    <vt:lpwstr>Standard</vt:lpwstr>
  </property>
  <property fmtid="{D5CDD505-2E9C-101B-9397-08002B2CF9AE}" pid="5" name="MSIP_Label_a8f77787-5df4-43b6-a2a8-8d8b678a318b_Name">
    <vt:lpwstr>a8f77787-5df4-43b6-a2a8-8d8b678a318b</vt:lpwstr>
  </property>
  <property fmtid="{D5CDD505-2E9C-101B-9397-08002B2CF9AE}" pid="6" name="MSIP_Label_a8f77787-5df4-43b6-a2a8-8d8b678a318b_SiteId">
    <vt:lpwstr>1ce6dd9e-b337-4088-be5e-8dbbec04b34a</vt:lpwstr>
  </property>
  <property fmtid="{D5CDD505-2E9C-101B-9397-08002B2CF9AE}" pid="7" name="MSIP_Label_a8f77787-5df4-43b6-a2a8-8d8b678a318b_ActionId">
    <vt:lpwstr>c932b25c-ce01-4252-aa9f-7a4da629e94d</vt:lpwstr>
  </property>
  <property fmtid="{D5CDD505-2E9C-101B-9397-08002B2CF9AE}" pid="8" name="MSIP_Label_a8f77787-5df4-43b6-a2a8-8d8b678a318b_ContentBits">
    <vt:lpwstr>0</vt:lpwstr>
  </property>
  <property fmtid="{D5CDD505-2E9C-101B-9397-08002B2CF9AE}" pid="9" name="ContentTypeId">
    <vt:lpwstr>0x01010086EC10CD6A863549826C5AB7C2A86FFB</vt:lpwstr>
  </property>
</Properties>
</file>